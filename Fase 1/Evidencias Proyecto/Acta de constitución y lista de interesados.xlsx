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A DE CONSTITUCIÓN" sheetId="1" r:id="rId4"/>
    <sheet state="visible" name="MATRIZ DE INTERESADOS" sheetId="2" r:id="rId5"/>
    <sheet state="visible" name="EDT" sheetId="3" r:id="rId6"/>
    <sheet state="hidden" name="INFORME DE AVANCE" sheetId="4" r:id="rId7"/>
  </sheets>
  <definedNames/>
  <calcPr/>
  <extLst>
    <ext uri="GoogleSheetsCustomDataVersion2">
      <go:sheetsCustomData xmlns:go="http://customooxmlschemas.google.com/" r:id="rId8" roundtripDataChecksum="omaSPfdyyDAz8URgDMsDEQempXCTrNp5DgUEbSLWzos="/>
    </ext>
  </extLst>
</workbook>
</file>

<file path=xl/sharedStrings.xml><?xml version="1.0" encoding="utf-8"?>
<sst xmlns="http://schemas.openxmlformats.org/spreadsheetml/2006/main" count="288" uniqueCount="206">
  <si>
    <t>CONTROL DE VERSIONES</t>
  </si>
  <si>
    <t>Versión</t>
  </si>
  <si>
    <t>Elaborada por</t>
  </si>
  <si>
    <t>Revisada por</t>
  </si>
  <si>
    <t>Aprobada por</t>
  </si>
  <si>
    <t>Fecha</t>
  </si>
  <si>
    <t>1.0</t>
  </si>
  <si>
    <t>0.4b</t>
  </si>
  <si>
    <t>Anna Heisig, Mauricio Gatica</t>
  </si>
  <si>
    <t>Mauricio Gatica</t>
  </si>
  <si>
    <t>Mauricio Gatica, Anna Heisig</t>
  </si>
  <si>
    <t>Anna Heisig</t>
  </si>
  <si>
    <t>ESTRUCTURA DE DESGLOSE DE TRABAJO  / EDT</t>
  </si>
  <si>
    <t>CÓDIGO</t>
  </si>
  <si>
    <t>NOMBRE DEL PROYECTO</t>
  </si>
  <si>
    <t>2.0</t>
  </si>
  <si>
    <t>SIGLAS DEL PROYECTO</t>
  </si>
  <si>
    <t>WELLQ</t>
  </si>
  <si>
    <t>WellQ API</t>
  </si>
  <si>
    <t>Lissette Rosas</t>
  </si>
  <si>
    <t>WQ</t>
  </si>
  <si>
    <t>Lady Rosas</t>
  </si>
  <si>
    <t>Diana  Balboa</t>
  </si>
  <si>
    <t>ACTA DE CONSTITUCIÓN DEL PROYECTO</t>
  </si>
  <si>
    <t>ENTREGABLES</t>
  </si>
  <si>
    <t>PAQ. DE TRABAJO</t>
  </si>
  <si>
    <t>ACTIVIDADES</t>
  </si>
  <si>
    <t>Responsable (y consideraciones)</t>
  </si>
  <si>
    <t>Fecha Inicio - Fecha Fin</t>
  </si>
  <si>
    <t>MATRIZ DE INTERESADOS</t>
  </si>
  <si>
    <t>INFORME DE AVANCE</t>
  </si>
  <si>
    <t>Acta de constitución, documento de definición del proyecto, lista de interesados.</t>
  </si>
  <si>
    <t>Planificación del proyecto.</t>
  </si>
  <si>
    <t>Completar documentos según plantillas.</t>
  </si>
  <si>
    <t>DESCRIPCIÓN DEL PROYECTO (Alcance del proyecto) ¿Qué es lo que vas a hacer? ¿Qué es lo que NO vas a hacer? Trata de ser específico, una vez aterrizada la idea general, será sencillo ejecutarla.</t>
  </si>
  <si>
    <t>27/08 - 10/09</t>
  </si>
  <si>
    <r>
      <rPr>
        <rFont val="Calibri"/>
        <color rgb="FF000000"/>
        <sz val="11.0"/>
      </rPr>
      <t xml:space="preserve">Se espera construir una plataforma propia para WellQ App, operando como una central de APIs (middleware) de manera que la app WellQ pueda consumir apuntando a él en lugar de </t>
    </r>
    <r>
      <rPr>
        <rFont val="Calibri"/>
        <color rgb="FF1155CC"/>
        <sz val="11.0"/>
        <u/>
      </rPr>
      <t>spikeapi.com</t>
    </r>
    <r>
      <rPr>
        <rFont val="Calibri"/>
        <color rgb="FF000000"/>
        <sz val="11.0"/>
      </rPr>
      <t xml:space="preserve"> con comportamiento equivalente y con datos reales de los proveedores asignados, implementando un módulo de autenticación compatible con el flujo actual de la app.
Para esto será necesario implementar la autenticación, los endpoints principales del área de salud como workouts, sleeps (que son utilizados por la app), las estadísticas y métricas y finalmente la gestión de proveedores para conectar/desconectar dispositivos de manera nativa en la aplicación sin dependencia de </t>
    </r>
    <r>
      <rPr>
        <rFont val="Calibri"/>
        <color rgb="FF1155CC"/>
        <sz val="11.0"/>
        <u/>
      </rPr>
      <t>spikeapi.com</t>
    </r>
    <r>
      <rPr>
        <rFont val="Calibri"/>
        <color rgb="FF000000"/>
        <sz val="11.0"/>
      </rPr>
      <t>, replicando sus servicios 1:1 con la nueva plataforma.
No se modificará el frontend de la app, no se modificará la infraestructura actual de producción, no se implementará push ni websocket ya que la app consume HTTP async.</t>
    </r>
  </si>
  <si>
    <t>Interesado</t>
  </si>
  <si>
    <t>Compromiso</t>
  </si>
  <si>
    <t>PMI0001</t>
  </si>
  <si>
    <t>PMO EVOLUTION 2.0</t>
  </si>
  <si>
    <t>Poder</t>
  </si>
  <si>
    <t>PMO EVOLUTION</t>
  </si>
  <si>
    <t>Interés</t>
  </si>
  <si>
    <t>Especificación de requerimientos, modelo de datos de la API, mockups, diagramas y casos de uso.</t>
  </si>
  <si>
    <t>Estrategia</t>
  </si>
  <si>
    <t>JUSTIFICACIÓN DEL PROYECTO ¿Por qué lo vamos a hacer?</t>
  </si>
  <si>
    <t>Diseño de la solución.</t>
  </si>
  <si>
    <t>ACCIÓN</t>
  </si>
  <si>
    <t>Generar diagramas de clase</t>
  </si>
  <si>
    <t>Desconoce</t>
  </si>
  <si>
    <t>03/09 - 10/09</t>
  </si>
  <si>
    <t xml:space="preserve">Actualmente WellQ App depende de un solo intermediario, que es Spike API, para acceder a los datos de los dispositivos. Esa dependencia genera riesgos importantes, como: 
- La dependencia del proveedor, en este caso Spike, limitando la capacidad de agregar nuevos dispositivos, caídas de servidor o que los precios aumenten, perjudicando directamente en la funcionalidad de la app.
- El control de los datos, WellQ maneja datos sensibles de sus pacientes y al utilizar un servidor propio pueden mantener un control directo sobre quién accede a esos datos y sobre cómo se almacenan, sin intermediarios.
- Escalabilidad y personalización, ya que con una plataforma propia se puede integrar nativamente los dispositivos que la clínica necesite sin esperar compatibilidad con Spike ni pagar por proveedores externos.
</t>
  </si>
  <si>
    <t>Se resiste</t>
  </si>
  <si>
    <t>Neutral</t>
  </si>
  <si>
    <t>Apoya</t>
  </si>
  <si>
    <t>Generar diagramas de actividad</t>
  </si>
  <si>
    <t>Líder</t>
  </si>
  <si>
    <t>Max Kreimerman</t>
  </si>
  <si>
    <t>OBJETIVOS DEL PROYECTO</t>
  </si>
  <si>
    <t>Generar casos de uso</t>
  </si>
  <si>
    <t>Generar mockups</t>
  </si>
  <si>
    <t>X</t>
  </si>
  <si>
    <t>A</t>
  </si>
  <si>
    <t>CONCEPTO</t>
  </si>
  <si>
    <t>LINEA BASE DE COSTOS</t>
  </si>
  <si>
    <t>OBJETIVOS</t>
  </si>
  <si>
    <t>LINEA BASE DE TIEMPO</t>
  </si>
  <si>
    <t>CRITERIOS DE ÉXITO</t>
  </si>
  <si>
    <t>INICIO REAL</t>
  </si>
  <si>
    <t xml:space="preserve">Para consumir los datos, la app genera una firma HMAC-SHA256 (que permite comprobar si un mensaje o archivo ha sido alterado durante su transmisión) sobre la ID del usuario, y la intercambia por un token JWT (que es un "pase" de 24horas), se necesita que todo endpoint posterior debe EXIGIR ese token en el encabezado para continuar. </t>
  </si>
  <si>
    <t>AVANCE PLANIFICADO</t>
  </si>
  <si>
    <t>AVANCE REAL</t>
  </si>
  <si>
    <t>Módulo de autenticación y registros de autenticación exitosa.</t>
  </si>
  <si>
    <t xml:space="preserve">Implementar el módulo de autenticación compatible con el flujo actual de la app.
</t>
  </si>
  <si>
    <t>INDICADORES VALOR GANADO</t>
  </si>
  <si>
    <t>La app obtiene el JWT y accede a todos los endpoints; una petición sin token o con token expirado devuelve 401</t>
  </si>
  <si>
    <t>COMENTARIOS</t>
  </si>
  <si>
    <t>INICIO PLANIFICADO</t>
  </si>
  <si>
    <t>Desarrollo del módulo de autenticación</t>
  </si>
  <si>
    <t>Actualmente la app hace consultas directamente a la API de spike, reimplementaremos los nueve endpoints a la nueva plataforma devolviendo el mismo contrato de peticiones y respuestas.</t>
  </si>
  <si>
    <t>FIN PLANIFICADO</t>
  </si>
  <si>
    <t>Reimplementar los nueve endpoints de consulta que la aplicación WellQ consume hoy en Spike.</t>
  </si>
  <si>
    <t>Implementación de endpoint de autenticación con token JWT.</t>
  </si>
  <si>
    <t>VALOR PLANEADO
(VP)</t>
  </si>
  <si>
    <t>Las nueve consultas funcionan con nuestro servidor usando la misma estructura de respuesta que devuelve Spike.</t>
  </si>
  <si>
    <t>VALOR GANADO
(EV)</t>
  </si>
  <si>
    <t>10/09 - 24/09</t>
  </si>
  <si>
    <t>COSTO ACTUAL
(AC)</t>
  </si>
  <si>
    <t>Se deja de utilizar Spike como intermediario y nos conectamos directamente a cada API de cada proveedor mediante OAuth (Autorización del usuario para compartir sus datos) y normalizamos las métricas, de modo que la app lea el mismo formato sin importar el dispositivo.</t>
  </si>
  <si>
    <t>SPI</t>
  </si>
  <si>
    <t>Integrar de forma nativa los proveedores Whoop, Garmin, Fitbit y Oura, normalizando sus datos al modelo unificado de métricas.</t>
  </si>
  <si>
    <t>CPI</t>
  </si>
  <si>
    <t>Implementar bearer token con duración de 24h</t>
  </si>
  <si>
    <t>Los tres proveedores entregan datos reales a nuestra plataforma y la app los muestra correctamente (tal y como funciona actualmente con Spike).</t>
  </si>
  <si>
    <t>Desarrollo inicial del panel de gestión</t>
  </si>
  <si>
    <t>Generar evidencias de autenticación exitosa</t>
  </si>
  <si>
    <t>Comparamos las respuestas de nuestra plataforma contra las de spike para las mismas peticiones, comprobando que son 1:1 en valores y formato.</t>
  </si>
  <si>
    <t>Validar el comportamiento equivalente de la nueva plataforma frente a la API oficial de Spike.</t>
  </si>
  <si>
    <t>Entregar avances y documentación del proyecto.</t>
  </si>
  <si>
    <t>Ambos servidores devuelven respuestas equivalentes.</t>
  </si>
  <si>
    <t>Código de ingesta de datos funcional e integración con la base de datos.</t>
  </si>
  <si>
    <t>Karina Alvarez</t>
  </si>
  <si>
    <t>Definir como se estructuran y persisten los registros de salud en la nueva plataforma.</t>
  </si>
  <si>
    <t>Desarrollo de API, ingesta de datos</t>
  </si>
  <si>
    <t>Diseñar el modelo de datos, considerando las modificaciones y depreciaciones sobre los endpoints existentes.</t>
  </si>
  <si>
    <t>Reimplementación de los endpoints de consulta</t>
  </si>
  <si>
    <t>Existe un modelo de datos que cubra todas las métricas mínimas reflejando los cambios de Spike.</t>
  </si>
  <si>
    <t>24/09 - 08/10</t>
  </si>
  <si>
    <t>Documentación del proyecto (arquitectura, endpoints, esquema) y entregar un informe final que respalde cada objetivo con pruebas gráficas.</t>
  </si>
  <si>
    <t xml:space="preserve">Integración nativa de Whoop y Garmin
</t>
  </si>
  <si>
    <t>Entregar documentación del proyecto y el informe final con evidencias.</t>
  </si>
  <si>
    <t>Se compraron materiales</t>
  </si>
  <si>
    <t>Se entrega la documentación e informe final con evidencias que demuestren el cumplimiento de los requisitos.</t>
  </si>
  <si>
    <t>LEYENDA</t>
  </si>
  <si>
    <r>
      <rPr>
        <rFont val="Calibri"/>
        <b/>
        <color rgb="FFFFFFFF"/>
        <sz val="10.0"/>
      </rPr>
      <t xml:space="preserve">SUPUESTOS DEL PROYECTO (¿Qué es lo que podemos "dar por sentado" que se va a mantener </t>
    </r>
    <r>
      <rPr>
        <rFont val="Calibri"/>
        <b/>
        <i/>
        <color rgb="FFFFFFFF"/>
        <sz val="10.0"/>
      </rPr>
      <t>por lo menos durante el tiempo de ejecución del proyecto</t>
    </r>
    <r>
      <rPr>
        <rFont val="Calibri"/>
        <b/>
        <color rgb="FFFFFFFF"/>
        <sz val="10.0"/>
      </rPr>
      <t>?)</t>
    </r>
  </si>
  <si>
    <t>Comunicación disponible con los stakeholders (Karina y Max)</t>
  </si>
  <si>
    <t>Documentación proporcionada por Alloxentric</t>
  </si>
  <si>
    <t>Lista de interesados</t>
  </si>
  <si>
    <t>Avance de API funcional con integraciones de Fitbit y Oura</t>
  </si>
  <si>
    <t>Equipos e internet disponibles para la realización del proyecto</t>
  </si>
  <si>
    <t>Desarrollo de API, integraciones</t>
  </si>
  <si>
    <t>Integración nativa de Fitbit y Oura</t>
  </si>
  <si>
    <t>08/10 -22/10</t>
  </si>
  <si>
    <t>Completar el modelo de datos.</t>
  </si>
  <si>
    <t>Informe de pruebas y defectos.</t>
  </si>
  <si>
    <t>Control de calidad y pruebas.</t>
  </si>
  <si>
    <t>Pruebas de rendimiento.</t>
  </si>
  <si>
    <t>22/10 -05/11</t>
  </si>
  <si>
    <t>RESTRICCIONES DEL PROYECTO  ¿Qué nos limita (capacidad, tiempo, recursos, dinero)? Triple restricción: Costo, tiempo, alcance.</t>
  </si>
  <si>
    <t>Pruebas de contrato desde OpenAPI</t>
  </si>
  <si>
    <r>
      <rPr>
        <rFont val="Calibri"/>
        <b/>
        <color theme="1"/>
        <sz val="11.0"/>
      </rPr>
      <t xml:space="preserve">OJO: </t>
    </r>
    <r>
      <rPr>
        <rFont val="Calibri"/>
        <b val="0"/>
        <color theme="1"/>
        <sz val="11.0"/>
      </rPr>
      <t xml:space="preserve">Noten la diferencia entre "Supuesto" y "Riesgo".
</t>
    </r>
  </si>
  <si>
    <t>Verificación de funcionalidades.</t>
  </si>
  <si>
    <r>
      <rPr>
        <rFont val="Calibri"/>
        <b/>
        <color rgb="FF000000"/>
        <sz val="11.0"/>
      </rPr>
      <t>Tiempo:</t>
    </r>
    <r>
      <rPr>
        <rFont val="Calibri"/>
        <color rgb="FF000000"/>
        <sz val="11.0"/>
      </rPr>
      <t xml:space="preserve"> Se contemplan 13 semanas para el desarrollo del proyecto, desde el desarrollo de la documentación inicial hasta la entrega del producto final. Esto limita la cantidad de funciones que se puede implementar.</t>
    </r>
  </si>
  <si>
    <r>
      <rPr>
        <rFont val="Calibri"/>
        <b/>
        <color rgb="FF000000"/>
        <sz val="11.0"/>
      </rPr>
      <t>Alcance:</t>
    </r>
    <r>
      <rPr>
        <rFont val="Calibri"/>
        <color rgb="FF000000"/>
        <sz val="11.0"/>
      </rPr>
      <t xml:space="preserve">  El alcance está acotado gracias a ciertas decisiones de diseño acordadas (push server-to-server, código de emparejamiento de un solo uso, diseño genérico para cualquier fabricante, cumplir con UK GDPR, etc.) dentro de las cuales se tiene que construir el producto.</t>
    </r>
  </si>
  <si>
    <t>Producto final y repositorio de github.</t>
  </si>
  <si>
    <t>Iteración final</t>
  </si>
  <si>
    <t>Finalizar el desarrollo del producto</t>
  </si>
  <si>
    <t>05/11 - 26/11</t>
  </si>
  <si>
    <t>Correción de defectos</t>
  </si>
  <si>
    <t>Finalizar el panel de gestión</t>
  </si>
  <si>
    <t>Documentación final del producto con evidencias de desarrollo.</t>
  </si>
  <si>
    <t>Documentación final</t>
  </si>
  <si>
    <t>Guías de uso y manuales</t>
  </si>
  <si>
    <t>19/11 - 03/12</t>
  </si>
  <si>
    <t>Informe de cierre del proyecto.</t>
  </si>
  <si>
    <t>Acta de cierre y aceptación.</t>
  </si>
  <si>
    <t>RIESGOS PRELIMINARES: Evento o condición incierta. ¿Qué es lo que sí podría ocurrir? ¿De qué no "nos libramos por completo? (existen riesgos positivos y negativos)</t>
  </si>
  <si>
    <t>Dificultades para integrar de manera nativa proveedores de wearables como Fitbit, Oura, etc.</t>
  </si>
  <si>
    <t>Portafolio -&gt; Programa -&gt; Proyectos</t>
  </si>
  <si>
    <t>Tiempo insuficiente para implementar todos los requerimientos.</t>
  </si>
  <si>
    <t>Requerimientos poco claros pueden causar que el producto no cumpla con las expectativas.</t>
  </si>
  <si>
    <t>SPONSOR DEL PROYECTO: Quienes otorgan apoyo y/o recursos para el proyecto. (OJO, NO son los Directores del Proyecto)</t>
  </si>
  <si>
    <t>NOMBRES Y APELLIDOS</t>
  </si>
  <si>
    <t>ORGANIZACIÓN</t>
  </si>
  <si>
    <t>CARGO</t>
  </si>
  <si>
    <t>Alloxentric</t>
  </si>
  <si>
    <t>Alloxentric, Duoc UC</t>
  </si>
  <si>
    <t>DP DEL PROYECTO</t>
  </si>
  <si>
    <t>NIVEL DE AUTORIDAD</t>
  </si>
  <si>
    <t>Líder del proyecto</t>
  </si>
  <si>
    <t>EQUIPO DE PROYECTO</t>
  </si>
  <si>
    <t>Núm. de teléfono</t>
  </si>
  <si>
    <t>Correo</t>
  </si>
  <si>
    <t>(Opcional recomendado) Detallar los CARGO</t>
  </si>
  <si>
    <t>9 3770 8089</t>
  </si>
  <si>
    <t>maur.gatica@duocuc.cl</t>
  </si>
  <si>
    <t>Moderador y presentador el evento.</t>
  </si>
  <si>
    <t>Presentación del evento, palabras de bienvenida y cierre, alcanzar las preguntas hacia el ponente.</t>
  </si>
  <si>
    <t>9 6302 6843</t>
  </si>
  <si>
    <t>an.heisig@duocuc.cl</t>
  </si>
  <si>
    <t>Líder técnico</t>
  </si>
  <si>
    <t>Operaciones y Logística</t>
  </si>
  <si>
    <t>Separar plataforma y link, encargarse de la transmisión</t>
  </si>
  <si>
    <t>Publicidad y MKT</t>
  </si>
  <si>
    <t>Piezas gráficas, la difusión del evento (creación de evento FB), coordinación con Relaciones Públicas para la difusión en Insta, FB y LinkedIn.</t>
  </si>
  <si>
    <t>*Video de inicio y cierre / La sala de espera / orden de la sala: micros, cámaras y anotaciones de los asistentes</t>
  </si>
  <si>
    <t>DURACIÓN ESTIMADA DEL PROYECTO</t>
  </si>
  <si>
    <t>14 Semanas (hasta el 10 de diciembre)</t>
  </si>
  <si>
    <t>HITOS Y ENTREGABLES</t>
  </si>
  <si>
    <t>HITO (Momentos, eventos importantes que ocurren dentro del proyecto)</t>
  </si>
  <si>
    <t>ENTREGABLE (Son elementos tangibles, algo "que se puede tocar"): Al tenerlos, nos demuestran que se llegaron a cumplir los Hitos.</t>
  </si>
  <si>
    <t>FECHA ESTIMADA</t>
  </si>
  <si>
    <t>Planificación del desarrollo y entrega de la documentación inicial.</t>
  </si>
  <si>
    <t xml:space="preserve">Documentos que definen objetivos, metodología, plan de trabajo y Gantt. </t>
  </si>
  <si>
    <t>Elaboración de documentos de diseño y especificaciones.</t>
  </si>
  <si>
    <t xml:space="preserve">Especificación de requerimientos, modelo de datos de la API, mockups, diagramas y casos de uso.
</t>
  </si>
  <si>
    <t>Desarrollo de módulo de autenticación funcional y panel de gestión.</t>
  </si>
  <si>
    <t>Ingesta de datos de salud funcional e integración nativa de Whoop y Garmin</t>
  </si>
  <si>
    <t>Código de ingesta de datos funcional.</t>
  </si>
  <si>
    <t>API funcional con integraciones de Fitbit y Oura.</t>
  </si>
  <si>
    <t>Avance de API funcional.</t>
  </si>
  <si>
    <t>Pruebas de carga y desempeño.</t>
  </si>
  <si>
    <t>Documentación de pruebas y defectos.</t>
  </si>
  <si>
    <t>Código finalizado.</t>
  </si>
  <si>
    <t>Código final en repositorio de Github.</t>
  </si>
  <si>
    <t>Entrega de documentación final.</t>
  </si>
  <si>
    <t xml:space="preserve">Entregables: Documentación final del producto con evidencias de desarrollo.
</t>
  </si>
  <si>
    <t>PRESUPUESTO (Colocar montos así "nos esté saliendo gratis". ¿Cuánto costaría el proyecto en total, si no se tuviera nada gratuito?</t>
  </si>
  <si>
    <t>MONTO</t>
  </si>
  <si>
    <t>Herramientas de desarrollo (editor, IDE, cliente HTTP)</t>
  </si>
  <si>
    <t>$0</t>
  </si>
  <si>
    <t>Lenguaje, framework y base de datos</t>
  </si>
  <si>
    <t>Hosting / despliegue</t>
  </si>
  <si>
    <t>PRINCIPALES STAKEHOLDERS (Interesados): Cualquier persona u organización que se vea afectada o afecte a la realización o no realización del proyecto.</t>
  </si>
  <si>
    <t>Duoc UC</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</si>
</sst>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_-[$S/-280A]* #,##0.00_-;\-[$S/-280A]* #,##0.00_-;_-[$S/-280A]* &quot;-&quot;??_-;_-@"/>
    <numFmt numFmtId="166" formatCode="_-&quot;S/&quot;* #,##0.00_-;\-&quot;S/&quot;* #,##0.00_-;_-&quot;S/&quot;* &quot;-&quot;??_-;_-@"/>
  </numFmts>
  <fonts count="23">
    <font>
      <sz val="11.0"/>
      <color theme="1"/>
      <name val="Arial"/>
      <scheme val="minor"/>
    </font>
    <font>
      <b/>
      <sz val="10.0"/>
      <color rgb="FFFFFFFF"/>
      <name val="Calibri"/>
    </font>
    <font/>
    <font>
      <sz val="11.0"/>
      <color theme="1"/>
      <name val="Calibri"/>
    </font>
    <font>
      <b/>
      <sz val="10.0"/>
      <color rgb="FF000000"/>
      <name val="Calibri"/>
    </font>
    <font>
      <sz val="10.0"/>
      <color theme="1"/>
      <name val="Calibri"/>
    </font>
    <font>
      <b/>
      <sz val="18.0"/>
      <color theme="1"/>
      <name val="Arial"/>
    </font>
    <font>
      <b/>
      <sz val="11.0"/>
      <color theme="1"/>
      <name val="Calibri"/>
    </font>
    <font>
      <b/>
      <sz val="18.0"/>
      <color theme="1"/>
      <name val="Calibri"/>
    </font>
    <font>
      <b/>
      <sz val="22.0"/>
      <color theme="1"/>
      <name val="Calibri"/>
    </font>
    <font>
      <b/>
      <sz val="11.0"/>
      <color rgb="FFFFFFFF"/>
      <name val="Calibri"/>
    </font>
    <font>
      <sz val="10.0"/>
      <color theme="1"/>
      <name val="Arial"/>
      <scheme val="minor"/>
    </font>
    <font>
      <sz val="12.0"/>
      <color rgb="FF000000"/>
      <name val="Calibri"/>
    </font>
    <font>
      <u/>
      <sz val="11.0"/>
      <color rgb="FF000000"/>
      <name val="Calibri"/>
    </font>
    <font>
      <b/>
      <sz val="12.0"/>
      <color rgb="FFFFFFFF"/>
      <name val="Calibri"/>
    </font>
    <font>
      <b/>
      <sz val="12.0"/>
      <color rgb="FF000000"/>
      <name val="Calibri"/>
    </font>
    <font>
      <sz val="11.0"/>
      <color rgb="FF000000"/>
      <name val="Calibri"/>
    </font>
    <font>
      <b/>
      <sz val="10.0"/>
      <color theme="0"/>
      <name val="Calibri"/>
    </font>
    <font>
      <sz val="10.0"/>
      <color rgb="FF000000"/>
      <name val="Calibri"/>
    </font>
    <font>
      <b/>
      <sz val="16.0"/>
      <color rgb="FF000000"/>
      <name val="Calibri"/>
    </font>
    <font>
      <b/>
      <sz val="12.0"/>
      <color theme="1"/>
      <name val="Calibri"/>
    </font>
    <font>
      <sz val="8.0"/>
      <color theme="1"/>
      <name val="Arial"/>
    </font>
    <font>
      <sz val="11.0"/>
      <color theme="1"/>
      <name val="Arial"/>
    </font>
  </fonts>
  <fills count="18">
    <fill>
      <patternFill patternType="none"/>
    </fill>
    <fill>
      <patternFill patternType="lightGray"/>
    </fill>
    <fill>
      <patternFill patternType="solid">
        <fgColor rgb="FF7030A0"/>
        <bgColor rgb="FF7030A0"/>
      </patternFill>
    </fill>
    <fill>
      <patternFill patternType="solid">
        <fgColor rgb="FFD9D9D9"/>
        <bgColor rgb="FFD9D9D9"/>
      </patternFill>
    </fill>
    <fill>
      <patternFill patternType="solid">
        <fgColor rgb="FFFF9900"/>
        <bgColor rgb="FFFF9900"/>
      </patternFill>
    </fill>
    <fill>
      <patternFill patternType="solid">
        <fgColor theme="5"/>
        <bgColor theme="5"/>
      </patternFill>
    </fill>
    <fill>
      <patternFill patternType="solid">
        <fgColor rgb="FFEDEDED"/>
        <bgColor rgb="FFEDEDED"/>
      </patternFill>
    </fill>
    <fill>
      <patternFill patternType="solid">
        <fgColor rgb="FFCCC0D9"/>
        <bgColor rgb="FFCCC0D9"/>
      </patternFill>
    </fill>
    <fill>
      <patternFill patternType="solid">
        <fgColor rgb="FFC6D9F1"/>
        <bgColor rgb="FFC6D9F1"/>
      </patternFill>
    </fill>
    <fill>
      <patternFill patternType="solid">
        <fgColor rgb="FF92D050"/>
        <bgColor rgb="FF92D050"/>
      </patternFill>
    </fill>
    <fill>
      <patternFill patternType="solid">
        <fgColor theme="7"/>
        <bgColor theme="7"/>
      </patternFill>
    </fill>
    <fill>
      <patternFill patternType="solid">
        <fgColor rgb="FFFF0000"/>
        <bgColor rgb="FFFF0000"/>
      </patternFill>
    </fill>
    <fill>
      <patternFill patternType="solid">
        <fgColor rgb="FFFFFF00"/>
        <bgColor rgb="FFFFFF00"/>
      </patternFill>
    </fill>
    <fill>
      <patternFill patternType="solid">
        <fgColor rgb="FFFCE5CD"/>
        <bgColor rgb="FFFCE5CD"/>
      </patternFill>
    </fill>
    <fill>
      <patternFill patternType="solid">
        <fgColor rgb="FFFFE598"/>
        <bgColor rgb="FFFFE598"/>
      </patternFill>
    </fill>
    <fill>
      <patternFill patternType="solid">
        <fgColor rgb="FFB4C6E7"/>
        <bgColor rgb="FFB4C6E7"/>
      </patternFill>
    </fill>
    <fill>
      <patternFill patternType="solid">
        <fgColor rgb="FFD8D8D8"/>
        <bgColor rgb="FFD8D8D8"/>
      </patternFill>
    </fill>
    <fill>
      <patternFill patternType="solid">
        <fgColor rgb="FFFFFFFF"/>
        <bgColor rgb="FFFFFFFF"/>
      </patternFill>
    </fill>
  </fills>
  <borders count="78">
    <border/>
    <border>
      <left style="thin">
        <color rgb="FF7F7F7F"/>
      </left>
      <top style="thin">
        <color rgb="FF7F7F7F"/>
      </top>
      <bottom/>
    </border>
    <border>
      <top style="thin">
        <color rgb="FF7F7F7F"/>
      </top>
      <bottom/>
    </border>
    <border>
      <right style="thin">
        <color rgb="FF7F7F7F"/>
      </right>
      <top style="thin">
        <color rgb="FF7F7F7F"/>
      </top>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000000"/>
      </bottom>
    </border>
    <border>
      <top style="thin">
        <color rgb="FF7F7F7F"/>
      </top>
      <bottom style="thin">
        <color rgb="FF7F7F7F"/>
      </bottom>
    </border>
    <border>
      <left style="thin">
        <color rgb="FF7F7F7F"/>
      </left>
      <right style="thin">
        <color rgb="FF7F7F7F"/>
      </right>
      <top style="thin">
        <color rgb="FF7F7F7F"/>
      </top>
    </border>
    <border>
      <left style="thin">
        <color rgb="FF7F7F7F"/>
      </left>
      <top style="thin">
        <color rgb="FF7F7F7F"/>
      </top>
      <bottom style="thin">
        <color rgb="FF000000"/>
      </bottom>
    </border>
    <border>
      <right style="thin">
        <color rgb="FF7F7F7F"/>
      </right>
      <top style="thin">
        <color rgb="FF7F7F7F"/>
      </top>
      <bottom style="thin">
        <color rgb="FF000000"/>
      </bottom>
    </border>
    <border>
      <left style="thin">
        <color rgb="FF7F7F7F"/>
      </left>
      <top style="thin">
        <color rgb="FF7F7F7F"/>
      </top>
    </border>
    <border>
      <right style="thin">
        <color rgb="FF7F7F7F"/>
      </right>
      <top style="thin">
        <color rgb="FF7F7F7F"/>
      </top>
    </border>
    <border>
      <left style="thin">
        <color rgb="FF000000"/>
      </left>
      <top style="thin">
        <color rgb="FF000000"/>
      </top>
    </border>
    <border>
      <top style="thin">
        <color rgb="FF000000"/>
      </top>
    </border>
    <border>
      <right style="thin">
        <color rgb="FF000000"/>
      </right>
      <top style="thin">
        <color rgb="FF000000"/>
      </top>
    </border>
    <border>
      <left style="thick">
        <color rgb="FF000000"/>
      </left>
      <right style="thin">
        <color rgb="FF000000"/>
      </right>
      <top style="thick">
        <color rgb="FF000000"/>
      </top>
      <bottom style="thick">
        <color rgb="FF000000"/>
      </bottom>
    </border>
    <border>
      <left style="thin">
        <color rgb="FF000000"/>
      </left>
    </border>
    <border>
      <left style="thin">
        <color rgb="FF000000"/>
      </left>
      <right style="thin">
        <color rgb="FF000000"/>
      </right>
      <top style="thick">
        <color rgb="FF000000"/>
      </top>
      <bottom style="thick">
        <color rgb="FF000000"/>
      </bottom>
    </border>
    <border>
      <right style="thin">
        <color rgb="FF000000"/>
      </right>
    </border>
    <border>
      <left style="thin">
        <color rgb="FF000000"/>
      </left>
      <right style="thick">
        <color rgb="FF000000"/>
      </right>
      <top style="thick">
        <color rgb="FF000000"/>
      </top>
      <bottom style="thick">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7F7F7F"/>
      </left>
      <right style="thin">
        <color rgb="FF7F7F7F"/>
      </right>
      <top/>
      <bottom style="thin">
        <color rgb="FF7F7F7F"/>
      </bottom>
    </border>
    <border>
      <left style="thick">
        <color rgb="FF000000"/>
      </left>
      <right style="thin">
        <color rgb="FF000000"/>
      </right>
    </border>
    <border>
      <left style="thin">
        <color rgb="FF7F7F7F"/>
      </left>
      <top/>
      <bottom style="thin">
        <color rgb="FF7F7F7F"/>
      </bottom>
    </border>
    <border>
      <top/>
      <bottom style="thin">
        <color rgb="FF7F7F7F"/>
      </bottom>
    </border>
    <border>
      <right style="thin">
        <color rgb="FF7F7F7F"/>
      </right>
      <top/>
      <bottom style="thin">
        <color rgb="FF7F7F7F"/>
      </bottom>
    </border>
    <border>
      <left style="thin">
        <color rgb="FF000000"/>
      </left>
      <right style="thin">
        <color rgb="FF000000"/>
      </right>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border>
    <border>
      <left style="thin">
        <color rgb="FF000000"/>
      </left>
      <right style="thick">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medium">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ck">
        <color rgb="FF000000"/>
      </top>
    </border>
    <border>
      <left style="thin">
        <color rgb="FF000000"/>
      </left>
      <top style="thick">
        <color rgb="FF000000"/>
      </top>
      <bottom style="thin">
        <color rgb="FF000000"/>
      </bottom>
    </border>
    <border>
      <left style="thin">
        <color rgb="FF7F7F7F"/>
      </left>
      <right style="thin">
        <color rgb="FF7F7F7F"/>
      </right>
      <bottom style="thin">
        <color rgb="FF7F7F7F"/>
      </bottom>
    </border>
    <border>
      <top style="thin">
        <color rgb="FF7F7F7F"/>
      </top>
    </border>
    <border>
      <right style="thick">
        <color rgb="FF000000"/>
      </right>
    </border>
    <border>
      <left style="thin">
        <color rgb="FF7F7F7F"/>
      </left>
    </border>
    <border>
      <right style="thin">
        <color rgb="FF7F7F7F"/>
      </right>
    </border>
    <border>
      <left style="thin">
        <color rgb="FF000000"/>
      </left>
      <top style="thin">
        <color rgb="FF000000"/>
      </top>
      <bottom style="thin">
        <color rgb="FF000000"/>
      </bottom>
    </border>
    <border>
      <left style="thin">
        <color rgb="FF7F7F7F"/>
      </left>
      <bottom style="thin">
        <color rgb="FF7F7F7F"/>
      </bottom>
    </border>
    <border>
      <right style="thick">
        <color rgb="FF000000"/>
      </right>
      <bottom style="thin">
        <color rgb="FF000000"/>
      </bottom>
    </border>
    <border>
      <bottom style="thin">
        <color rgb="FF7F7F7F"/>
      </bottom>
    </border>
    <border>
      <right style="thin">
        <color rgb="FF7F7F7F"/>
      </right>
      <bottom style="thin">
        <color rgb="FF7F7F7F"/>
      </bottom>
    </border>
    <border>
      <right style="thick">
        <color rgb="FF000000"/>
      </right>
      <top style="thin">
        <color rgb="FF000000"/>
      </top>
    </border>
    <border>
      <left style="thin">
        <color rgb="FF7F7F7F"/>
      </left>
      <right style="thin">
        <color rgb="FF7F7F7F"/>
      </right>
      <top style="thin">
        <color rgb="FF7F7F7F"/>
      </top>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right style="thin">
        <color rgb="FF000000"/>
      </right>
      <top style="thin">
        <color rgb="FF000000"/>
      </top>
      <bottom style="thin">
        <color rgb="FF000000"/>
      </bottom>
    </border>
    <border>
      <right style="thick">
        <color rgb="FF000000"/>
      </right>
      <bottom style="thick">
        <color rgb="FF000000"/>
      </bottom>
    </border>
    <border>
      <top style="thin">
        <color rgb="FF000000"/>
      </top>
      <bottom style="thin">
        <color rgb="FF000000"/>
      </bottom>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rder>
    <border>
      <left/>
      <right/>
      <top/>
    </border>
    <border>
      <left style="thin">
        <color rgb="FF000000"/>
      </left>
      <right style="thick">
        <color rgb="FF000000"/>
      </right>
      <top style="thin">
        <color rgb="FF000000"/>
      </top>
    </border>
    <border>
      <left/>
      <right/>
    </border>
    <border>
      <left/>
      <right/>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right style="thick">
        <color rgb="FF000000"/>
      </right>
      <top style="thin">
        <color rgb="FF000000"/>
      </top>
      <bottom style="thin">
        <color rgb="FF000000"/>
      </bottom>
    </border>
    <border>
      <left style="thin">
        <color rgb="FF000000"/>
      </left>
      <right style="thick">
        <color rgb="FF000000"/>
      </right>
      <top style="thin">
        <color rgb="FF000000"/>
      </top>
      <bottom style="thick">
        <color rgb="FF000000"/>
      </bottom>
    </border>
    <border>
      <bottom style="thick">
        <color rgb="FF000000"/>
      </bottom>
    </border>
    <border>
      <left style="thin">
        <color rgb="FF7F7F7F"/>
      </left>
      <top/>
      <bottom/>
    </border>
    <border>
      <top/>
      <bottom/>
    </border>
    <border>
      <right style="thin">
        <color rgb="FF7F7F7F"/>
      </right>
      <top/>
      <bottom/>
    </border>
    <border>
      <left/>
      <right/>
      <top/>
      <bottom/>
    </border>
    <border>
      <left/>
      <top style="thin">
        <color rgb="FF7F7F7F"/>
      </top>
      <bottom style="thin">
        <color rgb="FF7F7F7F"/>
      </bottom>
    </border>
    <border>
      <left style="thin">
        <color rgb="FF7F7F7F"/>
      </left>
      <top style="thin">
        <color rgb="FF000000"/>
      </top>
      <bottom style="thin">
        <color rgb="FF7F7F7F"/>
      </bottom>
    </border>
    <border>
      <top style="thin">
        <color rgb="FF000000"/>
      </top>
      <bottom style="thin">
        <color rgb="FF7F7F7F"/>
      </bottom>
    </border>
    <border>
      <right style="thin">
        <color rgb="FF7F7F7F"/>
      </right>
      <top style="thin">
        <color rgb="FF000000"/>
      </top>
      <bottom style="thin">
        <color rgb="FF7F7F7F"/>
      </bottom>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0" fillId="0" fontId="3" numFmtId="0" xfId="0" applyFont="1"/>
    <xf borderId="3" fillId="0" fontId="2" numFmtId="0" xfId="0" applyBorder="1" applyFont="1"/>
    <xf borderId="4" fillId="3" fontId="4" numFmtId="0" xfId="0" applyAlignment="1" applyBorder="1" applyFill="1" applyFont="1">
      <alignment horizontal="center" shrinkToFit="0" vertical="center" wrapText="1"/>
    </xf>
    <xf borderId="5" fillId="3" fontId="4" numFmtId="0" xfId="0" applyAlignment="1" applyBorder="1" applyFill="1" applyFont="1">
      <alignment horizontal="center" shrinkToFit="0" vertical="center" wrapText="1"/>
    </xf>
    <xf borderId="6" fillId="0" fontId="2" numFmtId="0" xfId="0" applyBorder="1" applyFont="1"/>
    <xf borderId="5" fillId="2" fontId="1" numFmtId="0" xfId="0" applyAlignment="1" applyBorder="1" applyFill="1" applyFont="1">
      <alignment horizontal="center" shrinkToFit="0" vertical="center" wrapText="1"/>
    </xf>
    <xf borderId="7" fillId="0" fontId="5" numFmtId="0" xfId="0" applyAlignment="1" applyBorder="1" applyFont="1">
      <alignment horizontal="center" readingOrder="0" shrinkToFit="0" vertical="center" wrapText="1"/>
    </xf>
    <xf borderId="8" fillId="0" fontId="2" numFmtId="0" xfId="0" applyBorder="1" applyFont="1"/>
    <xf borderId="9" fillId="0" fontId="5"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1" fillId="0" fontId="2" numFmtId="0" xfId="0" applyBorder="1" applyFont="1"/>
    <xf borderId="12" fillId="0" fontId="5" numFmtId="0" xfId="0" applyAlignment="1" applyBorder="1" applyFont="1">
      <alignment horizontal="center" readingOrder="0" shrinkToFit="0" vertical="center" wrapText="1"/>
    </xf>
    <xf borderId="13" fillId="0" fontId="2" numFmtId="0" xfId="0" applyBorder="1" applyFont="1"/>
    <xf borderId="7" fillId="0" fontId="5" numFmtId="164" xfId="0" applyAlignment="1" applyBorder="1" applyFont="1" applyNumberFormat="1">
      <alignment horizontal="center" readingOrder="0" shrinkToFit="0" vertical="center" wrapText="1"/>
    </xf>
    <xf borderId="9" fillId="0" fontId="5" numFmtId="164" xfId="0" applyAlignment="1" applyBorder="1" applyFont="1" applyNumberFormat="1">
      <alignment horizontal="center" readingOrder="0" shrinkToFit="0" vertical="center" wrapText="1"/>
    </xf>
    <xf borderId="0" fillId="0" fontId="3" numFmtId="0" xfId="0" applyAlignment="1" applyFont="1">
      <alignment horizontal="center" vertical="center"/>
    </xf>
    <xf borderId="0" fillId="0" fontId="6" numFmtId="0" xfId="0" applyAlignment="1" applyFont="1">
      <alignment horizontal="center" vertical="center"/>
    </xf>
    <xf borderId="4" fillId="2" fontId="1" numFmtId="0" xfId="0" applyAlignment="1" applyBorder="1" applyFill="1" applyFont="1">
      <alignment horizontal="center" shrinkToFit="0" vertical="center" wrapText="1"/>
    </xf>
    <xf borderId="4" fillId="0" fontId="5" numFmtId="0" xfId="0" applyAlignment="1" applyBorder="1" applyFont="1">
      <alignment horizontal="center" readingOrder="0" shrinkToFit="0" vertical="center" wrapText="1"/>
    </xf>
    <xf borderId="4" fillId="0" fontId="5" numFmtId="0" xfId="0" applyAlignment="1" applyBorder="1" applyFont="1">
      <alignment horizontal="center" shrinkToFit="0" vertical="center" wrapText="1"/>
    </xf>
    <xf borderId="5" fillId="0" fontId="5" numFmtId="0" xfId="0" applyAlignment="1" applyBorder="1" applyFont="1">
      <alignment horizontal="center" readingOrder="0" shrinkToFit="0" vertical="center" wrapText="1"/>
    </xf>
    <xf borderId="14" fillId="0" fontId="3" numFmtId="0" xfId="0" applyAlignment="1" applyBorder="1" applyFont="1">
      <alignment horizontal="center" vertical="center"/>
    </xf>
    <xf borderId="5" fillId="0" fontId="5" numFmtId="0" xfId="0" applyAlignment="1" applyBorder="1" applyFont="1">
      <alignment horizontal="center" shrinkToFit="0" vertical="center" wrapText="1"/>
    </xf>
    <xf borderId="15" fillId="0" fontId="3" numFmtId="0" xfId="0" applyBorder="1" applyFont="1"/>
    <xf borderId="0" fillId="0" fontId="7" numFmtId="0" xfId="0" applyFont="1"/>
    <xf borderId="16" fillId="0" fontId="3" numFmtId="0" xfId="0" applyBorder="1" applyFont="1"/>
    <xf borderId="17" fillId="4" fontId="7" numFmtId="0" xfId="0" applyAlignment="1" applyBorder="1" applyFill="1" applyFont="1">
      <alignment horizontal="center" shrinkToFit="0" vertical="center" wrapText="1"/>
    </xf>
    <xf borderId="18" fillId="0" fontId="8" numFmtId="0" xfId="0" applyAlignment="1" applyBorder="1" applyFont="1">
      <alignment horizontal="center" vertical="center"/>
    </xf>
    <xf borderId="4" fillId="0" fontId="5" numFmtId="164" xfId="0" applyAlignment="1" applyBorder="1" applyFont="1" applyNumberFormat="1">
      <alignment horizontal="center" readingOrder="0" shrinkToFit="0" vertical="center" wrapText="1"/>
    </xf>
    <xf borderId="4" fillId="0" fontId="5" numFmtId="164" xfId="0" applyAlignment="1" applyBorder="1" applyFont="1" applyNumberFormat="1">
      <alignment horizontal="center" shrinkToFit="0" vertical="center" wrapText="1"/>
    </xf>
    <xf borderId="19" fillId="4" fontId="7"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20" fillId="0" fontId="2" numFmtId="0" xfId="0" applyBorder="1" applyFont="1"/>
    <xf borderId="18" fillId="0" fontId="2" numFmtId="0" xfId="0" applyBorder="1" applyFont="1"/>
    <xf borderId="21" fillId="4" fontId="7" numFmtId="0" xfId="0" applyAlignment="1" applyBorder="1" applyFill="1" applyFont="1">
      <alignment horizontal="center" shrinkToFit="0" vertical="center" wrapText="1"/>
    </xf>
    <xf borderId="22" fillId="0" fontId="3" numFmtId="0" xfId="0" applyAlignment="1" applyBorder="1" applyFont="1">
      <alignment horizontal="center" vertical="center"/>
    </xf>
    <xf borderId="23" fillId="0" fontId="3" numFmtId="0" xfId="0" applyBorder="1" applyFont="1"/>
    <xf borderId="0" fillId="0" fontId="5" numFmtId="164" xfId="0" applyAlignment="1" applyFont="1" applyNumberFormat="1">
      <alignment horizontal="center" shrinkToFit="0" vertical="center" wrapText="1"/>
    </xf>
    <xf borderId="0" fillId="0" fontId="8" numFmtId="0" xfId="0" applyAlignment="1" applyFont="1">
      <alignment horizontal="center" vertical="center"/>
    </xf>
    <xf borderId="24" fillId="0" fontId="3" numFmtId="0" xfId="0" applyBorder="1" applyFont="1"/>
    <xf borderId="25" fillId="2" fontId="1" numFmtId="0" xfId="0" applyAlignment="1" applyBorder="1" applyFill="1" applyFont="1">
      <alignment horizontal="center" shrinkToFit="0" vertical="center" wrapText="1"/>
    </xf>
    <xf borderId="26" fillId="0" fontId="9" numFmtId="0" xfId="0" applyAlignment="1" applyBorder="1" applyFont="1">
      <alignment horizontal="center" readingOrder="0" textRotation="90" vertical="center"/>
    </xf>
    <xf borderId="27" fillId="2" fontId="1" numFmtId="0" xfId="0" applyAlignment="1" applyBorder="1" applyFill="1" applyFont="1">
      <alignment horizontal="center" shrinkToFit="0" vertical="center" wrapText="1"/>
    </xf>
    <xf borderId="28" fillId="0" fontId="2" numFmtId="0" xfId="0" applyBorder="1" applyFont="1"/>
    <xf borderId="29" fillId="0" fontId="2" numFmtId="0" xfId="0" applyBorder="1" applyFont="1"/>
    <xf borderId="30" fillId="5" fontId="10" numFmtId="0" xfId="0" applyAlignment="1" applyBorder="1" applyFill="1" applyFont="1">
      <alignment horizontal="center" readingOrder="0" shrinkToFit="0" vertical="center" wrapText="1"/>
    </xf>
    <xf borderId="31" fillId="0" fontId="3" numFmtId="0" xfId="0" applyAlignment="1" applyBorder="1" applyFont="1">
      <alignment readingOrder="0" shrinkToFit="0" vertical="center" wrapText="1"/>
    </xf>
    <xf borderId="32" fillId="0" fontId="3" numFmtId="0" xfId="0" applyAlignment="1" applyBorder="1" applyFont="1">
      <alignment readingOrder="0" shrinkToFit="0" vertical="center" wrapText="1"/>
    </xf>
    <xf borderId="33" fillId="0" fontId="3" numFmtId="0" xfId="0" applyAlignment="1" applyBorder="1" applyFont="1">
      <alignment readingOrder="0" shrinkToFit="0" vertical="center" wrapText="1"/>
    </xf>
    <xf borderId="27" fillId="2" fontId="10" numFmtId="0" xfId="0" applyAlignment="1" applyBorder="1" applyFill="1" applyFont="1">
      <alignment shrinkToFit="0" vertical="center" wrapText="1"/>
    </xf>
    <xf borderId="34" fillId="0" fontId="3" numFmtId="0" xfId="0" applyAlignment="1" applyBorder="1" applyFont="1">
      <alignment readingOrder="0" shrinkToFit="0" vertical="center" wrapText="1"/>
    </xf>
    <xf borderId="26" fillId="0" fontId="2" numFmtId="0" xfId="0" applyBorder="1" applyFont="1"/>
    <xf borderId="35" fillId="0" fontId="2" numFmtId="0" xfId="0" applyBorder="1" applyFont="1"/>
    <xf borderId="0" fillId="0" fontId="7" numFmtId="0" xfId="0" applyAlignment="1" applyFont="1">
      <alignment horizontal="center" vertical="center"/>
    </xf>
    <xf borderId="0" fillId="0" fontId="11" numFmtId="0" xfId="0" applyAlignment="1" applyFont="1">
      <alignment readingOrder="0"/>
    </xf>
    <xf borderId="33" fillId="0" fontId="2" numFmtId="0" xfId="0" applyBorder="1" applyFont="1"/>
    <xf borderId="9" fillId="0" fontId="12" numFmtId="0" xfId="0" applyAlignment="1" applyBorder="1" applyFont="1">
      <alignment horizontal="center" shrinkToFit="0" vertical="center" wrapText="1"/>
    </xf>
    <xf borderId="34" fillId="0" fontId="2" numFmtId="0" xfId="0" applyBorder="1" applyFont="1"/>
    <xf borderId="31" fillId="0" fontId="2" numFmtId="0" xfId="0" applyBorder="1" applyFont="1"/>
    <xf borderId="14" fillId="0" fontId="13" numFmtId="0" xfId="0" applyAlignment="1" applyBorder="1" applyFont="1">
      <alignment readingOrder="0" shrinkToFit="0" vertical="center" wrapText="1"/>
    </xf>
    <xf borderId="5" fillId="2" fontId="14" numFmtId="0" xfId="0" applyAlignment="1" applyBorder="1" applyFill="1" applyFont="1">
      <alignment horizontal="center" shrinkToFit="0" vertical="center" wrapText="1"/>
    </xf>
    <xf borderId="15" fillId="0" fontId="2" numFmtId="0" xfId="0" applyBorder="1" applyFont="1"/>
    <xf borderId="31" fillId="0" fontId="3" numFmtId="0" xfId="0" applyAlignment="1" applyBorder="1" applyFont="1">
      <alignment shrinkToFit="0" vertical="center" wrapText="1"/>
    </xf>
    <xf borderId="16" fillId="0" fontId="2" numFmtId="0" xfId="0" applyBorder="1" applyFont="1"/>
    <xf borderId="36" fillId="0" fontId="3" numFmtId="0" xfId="0" applyAlignment="1" applyBorder="1" applyFont="1">
      <alignment shrinkToFit="0" vertical="center" wrapText="1"/>
    </xf>
    <xf borderId="37" fillId="0" fontId="2" numFmtId="0" xfId="0" applyBorder="1" applyFont="1"/>
    <xf borderId="9" fillId="0" fontId="15" numFmtId="0" xfId="0" applyAlignment="1" applyBorder="1" applyFont="1">
      <alignment horizontal="center" shrinkToFit="0" textRotation="90" vertical="center" wrapText="1"/>
    </xf>
    <xf borderId="38" fillId="0" fontId="2" numFmtId="0" xfId="0" applyBorder="1" applyFont="1"/>
    <xf borderId="22" fillId="0" fontId="16" numFmtId="0" xfId="0" applyAlignment="1" applyBorder="1" applyFont="1">
      <alignment shrinkToFit="0" vertical="center" wrapText="1"/>
    </xf>
    <xf borderId="23" fillId="0" fontId="2" numFmtId="0" xfId="0" applyBorder="1" applyFont="1"/>
    <xf borderId="24" fillId="0" fontId="2" numFmtId="0" xfId="0" applyBorder="1" applyFont="1"/>
    <xf borderId="39" fillId="5" fontId="10" numFmtId="0" xfId="0" applyAlignment="1" applyBorder="1" applyFill="1" applyFont="1">
      <alignment horizontal="center" readingOrder="0" shrinkToFit="0" vertical="center" wrapText="1"/>
    </xf>
    <xf borderId="35" fillId="0" fontId="3" numFmtId="0" xfId="0" applyAlignment="1" applyBorder="1" applyFont="1">
      <alignment readingOrder="0" shrinkToFit="0" vertical="center" wrapText="1"/>
    </xf>
    <xf borderId="40" fillId="0" fontId="3" numFmtId="0" xfId="0" applyAlignment="1" applyBorder="1" applyFont="1">
      <alignment readingOrder="0" shrinkToFit="0" vertical="center" wrapText="1"/>
    </xf>
    <xf borderId="41" fillId="0" fontId="2" numFmtId="0" xfId="0" applyBorder="1" applyFont="1"/>
    <xf borderId="12" fillId="0" fontId="16" numFmtId="0" xfId="0" applyAlignment="1" applyBorder="1" applyFont="1">
      <alignment horizontal="left" shrinkToFit="0" vertical="center" wrapText="1"/>
    </xf>
    <xf borderId="42" fillId="0" fontId="2" numFmtId="0" xfId="0" applyBorder="1" applyFont="1"/>
    <xf borderId="36" fillId="0" fontId="3" numFmtId="0" xfId="0" applyAlignment="1" applyBorder="1" applyFont="1">
      <alignment readingOrder="0" shrinkToFit="0" vertical="center" wrapText="1"/>
    </xf>
    <xf borderId="4" fillId="6" fontId="12" numFmtId="0" xfId="0" applyAlignment="1" applyBorder="1" applyFill="1" applyFont="1">
      <alignment horizontal="center" shrinkToFit="0" textRotation="90" vertical="center" wrapText="1"/>
    </xf>
    <xf borderId="43" fillId="0" fontId="3" numFmtId="0" xfId="0" applyAlignment="1" applyBorder="1" applyFont="1">
      <alignment readingOrder="0" shrinkToFit="0" vertical="center" wrapText="1"/>
    </xf>
    <xf borderId="44" fillId="0" fontId="16" numFmtId="0" xfId="0" applyAlignment="1" applyBorder="1" applyFont="1">
      <alignment horizontal="left" readingOrder="0" shrinkToFit="0" vertical="center" wrapText="1"/>
    </xf>
    <xf borderId="45" fillId="0" fontId="2" numFmtId="0" xfId="0" applyBorder="1" applyFont="1"/>
    <xf borderId="44" fillId="0" fontId="2" numFmtId="0" xfId="0" applyBorder="1" applyFont="1"/>
    <xf borderId="46" fillId="0" fontId="3" numFmtId="0" xfId="0" applyAlignment="1" applyBorder="1" applyFont="1">
      <alignment readingOrder="0" shrinkToFit="0" vertical="center" wrapText="1"/>
    </xf>
    <xf borderId="47" fillId="0" fontId="16" numFmtId="0" xfId="0" applyAlignment="1" applyBorder="1" applyFont="1">
      <alignment shrinkToFit="0" vertical="center" wrapText="1"/>
    </xf>
    <xf borderId="48" fillId="0" fontId="2" numFmtId="0" xfId="0" applyBorder="1" applyFont="1"/>
    <xf borderId="49" fillId="0" fontId="2" numFmtId="0" xfId="0" applyBorder="1" applyFont="1"/>
    <xf borderId="50" fillId="0" fontId="2" numFmtId="0" xfId="0" applyBorder="1" applyFont="1"/>
    <xf borderId="4" fillId="0" fontId="12" numFmtId="0" xfId="0" applyAlignment="1" applyBorder="1" applyFont="1">
      <alignment horizontal="center" readingOrder="0" shrinkToFit="0" vertical="center" wrapText="1"/>
    </xf>
    <xf borderId="34" fillId="0" fontId="3" numFmtId="0" xfId="0" applyAlignment="1" applyBorder="1" applyFont="1">
      <alignment shrinkToFit="0" vertical="center" wrapText="1"/>
    </xf>
    <xf borderId="4" fillId="0" fontId="12" numFmtId="0" xfId="0" applyAlignment="1" applyBorder="1" applyFont="1">
      <alignment horizontal="center" shrinkToFit="0" vertical="center" wrapText="1"/>
    </xf>
    <xf borderId="51" fillId="0" fontId="3" numFmtId="0" xfId="0" applyAlignment="1" applyBorder="1" applyFont="1">
      <alignment shrinkToFit="0" vertical="center" wrapText="1"/>
    </xf>
    <xf borderId="5" fillId="2" fontId="10" numFmtId="0" xfId="0" applyAlignment="1" applyBorder="1" applyFill="1" applyFont="1">
      <alignment shrinkToFit="0" vertical="center" wrapText="1"/>
    </xf>
    <xf borderId="43" fillId="0" fontId="3" numFmtId="0" xfId="0" applyAlignment="1" applyBorder="1" applyFont="1">
      <alignment shrinkToFit="0" vertical="center" wrapText="1"/>
    </xf>
    <xf borderId="52" fillId="7" fontId="4" numFmtId="0" xfId="0" applyAlignment="1" applyBorder="1" applyFill="1" applyFont="1">
      <alignment horizontal="center" shrinkToFit="0" vertical="center" wrapText="1"/>
    </xf>
    <xf borderId="53" fillId="0" fontId="2" numFmtId="0" xfId="0" applyBorder="1" applyFont="1"/>
    <xf borderId="36" fillId="2" fontId="17" numFmtId="0" xfId="0" applyAlignment="1" applyBorder="1" applyFill="1" applyFont="1">
      <alignment horizontal="center" shrinkToFit="0" vertical="center" wrapText="1"/>
    </xf>
    <xf borderId="1" fillId="7" fontId="4" numFmtId="0" xfId="0" applyAlignment="1" applyBorder="1" applyFill="1" applyFont="1">
      <alignment horizontal="center" shrinkToFit="0" vertical="center" wrapText="1"/>
    </xf>
    <xf borderId="54" fillId="0" fontId="3" numFmtId="0" xfId="0" applyAlignment="1" applyBorder="1" applyFont="1">
      <alignment shrinkToFit="0" vertical="center" wrapText="1"/>
    </xf>
    <xf borderId="46" fillId="2" fontId="17" numFmtId="0" xfId="0" applyAlignment="1" applyBorder="1" applyFill="1" applyFont="1">
      <alignment horizontal="center" shrinkToFit="0" vertical="center" wrapText="1"/>
    </xf>
    <xf borderId="55" fillId="0" fontId="2" numFmtId="0" xfId="0" applyBorder="1" applyFont="1"/>
    <xf borderId="56" fillId="0" fontId="3" numFmtId="0" xfId="0" applyAlignment="1" applyBorder="1" applyFont="1">
      <alignment shrinkToFit="0" vertical="center" wrapText="1"/>
    </xf>
    <xf borderId="32" fillId="8" fontId="18" numFmtId="0" xfId="0" applyAlignment="1" applyBorder="1" applyFill="1" applyFont="1">
      <alignment horizontal="center" readingOrder="0" shrinkToFit="0" vertical="center" wrapText="1"/>
    </xf>
    <xf borderId="46" fillId="0" fontId="16" numFmtId="0" xfId="0" applyAlignment="1" applyBorder="1" applyFont="1">
      <alignment horizontal="left" readingOrder="0" shrinkToFit="0" vertical="center" wrapText="1"/>
    </xf>
    <xf borderId="57" fillId="0" fontId="2" numFmtId="0" xfId="0" applyBorder="1" applyFont="1"/>
    <xf borderId="32" fillId="2" fontId="17" numFmtId="0" xfId="0" applyAlignment="1" applyBorder="1" applyFill="1" applyFont="1">
      <alignment horizontal="center" shrinkToFit="0" vertical="center" wrapText="1"/>
    </xf>
    <xf borderId="32" fillId="5" fontId="17" numFmtId="0" xfId="0" applyAlignment="1" applyBorder="1" applyFill="1" applyFont="1">
      <alignment horizontal="center" shrinkToFit="0" vertical="center" wrapText="1"/>
    </xf>
    <xf borderId="32" fillId="9" fontId="17" numFmtId="0" xfId="0" applyAlignment="1" applyBorder="1" applyFill="1" applyFont="1">
      <alignment horizontal="center" shrinkToFit="0" vertical="center" wrapText="1"/>
    </xf>
    <xf borderId="32" fillId="10" fontId="17" numFmtId="0" xfId="0" applyAlignment="1" applyBorder="1" applyFill="1" applyFont="1">
      <alignment horizontal="center" shrinkToFit="0" vertical="center" wrapText="1"/>
    </xf>
    <xf borderId="4" fillId="0" fontId="3" numFmtId="0" xfId="0" applyAlignment="1" applyBorder="1" applyFont="1">
      <alignment horizontal="left" shrinkToFit="0" vertical="center" wrapText="1"/>
    </xf>
    <xf borderId="32" fillId="0" fontId="5" numFmtId="3" xfId="0" applyAlignment="1" applyBorder="1" applyFont="1" applyNumberFormat="1">
      <alignment horizontal="center" shrinkToFit="0" vertical="center" wrapText="1"/>
    </xf>
    <xf borderId="32" fillId="0" fontId="5" numFmtId="164" xfId="0" applyAlignment="1" applyBorder="1" applyFont="1" applyNumberFormat="1">
      <alignment horizontal="center" shrinkToFit="0" vertical="center" wrapText="1"/>
    </xf>
    <xf borderId="32" fillId="0" fontId="5" numFmtId="9" xfId="0" applyAlignment="1" applyBorder="1" applyFont="1" applyNumberFormat="1">
      <alignment horizontal="center" shrinkToFit="0" vertical="center" wrapText="1"/>
    </xf>
    <xf borderId="4" fillId="0" fontId="12" numFmtId="0" xfId="0" applyAlignment="1" applyBorder="1" applyFont="1">
      <alignment horizontal="left" readingOrder="0" shrinkToFit="0" vertical="center" wrapText="1"/>
    </xf>
    <xf borderId="32" fillId="0" fontId="5" numFmtId="1" xfId="0" applyAlignment="1" applyBorder="1" applyFont="1" applyNumberFormat="1">
      <alignment horizontal="center" shrinkToFit="0" vertical="center" wrapText="1"/>
    </xf>
    <xf borderId="36" fillId="8" fontId="18" numFmtId="0" xfId="0" applyAlignment="1" applyBorder="1" applyFill="1" applyFont="1">
      <alignment horizontal="center" readingOrder="0" shrinkToFit="0" vertical="center" wrapText="1"/>
    </xf>
    <xf borderId="58" fillId="0" fontId="3" numFmtId="0" xfId="0" applyAlignment="1" applyBorder="1" applyFont="1">
      <alignment readingOrder="0" shrinkToFit="0" vertical="center" wrapText="1"/>
    </xf>
    <xf borderId="14" fillId="0" fontId="16" numFmtId="0" xfId="0" applyAlignment="1" applyBorder="1" applyFont="1">
      <alignment horizontal="left" readingOrder="0" shrinkToFit="0" vertical="center" wrapText="1"/>
    </xf>
    <xf borderId="59" fillId="0" fontId="3" numFmtId="0" xfId="0" applyAlignment="1" applyBorder="1" applyFont="1">
      <alignment readingOrder="0" shrinkToFit="0" vertical="center" wrapText="1"/>
    </xf>
    <xf borderId="32" fillId="11" fontId="5" numFmtId="2" xfId="0" applyAlignment="1" applyBorder="1" applyFill="1" applyFont="1" applyNumberFormat="1">
      <alignment horizontal="center" shrinkToFit="0" vertical="center" wrapText="1"/>
    </xf>
    <xf borderId="22" fillId="0" fontId="2" numFmtId="0" xfId="0" applyBorder="1" applyFont="1"/>
    <xf borderId="60" fillId="0" fontId="3" numFmtId="0" xfId="0" applyAlignment="1" applyBorder="1" applyFont="1">
      <alignment readingOrder="0" shrinkToFit="0" vertical="center" wrapText="1"/>
    </xf>
    <xf borderId="32" fillId="12" fontId="5" numFmtId="2" xfId="0" applyAlignment="1" applyBorder="1" applyFill="1" applyFont="1" applyNumberFormat="1">
      <alignment horizontal="center" shrinkToFit="0" vertical="center" wrapText="1"/>
    </xf>
    <xf borderId="32" fillId="0" fontId="5" numFmtId="0" xfId="0" applyAlignment="1" applyBorder="1" applyFont="1">
      <alignment shrinkToFit="0" vertical="center" wrapText="1"/>
    </xf>
    <xf borderId="32" fillId="0" fontId="3" numFmtId="0" xfId="0" applyAlignment="1" applyBorder="1" applyFont="1">
      <alignment shrinkToFit="0" vertical="center" wrapText="1"/>
    </xf>
    <xf borderId="61" fillId="5" fontId="19" numFmtId="0" xfId="0" applyAlignment="1" applyBorder="1" applyFill="1" applyFont="1">
      <alignment horizontal="left" shrinkToFit="0" vertical="center" wrapText="1"/>
    </xf>
    <xf borderId="27" fillId="2" fontId="1" numFmtId="0" xfId="0" applyAlignment="1" applyBorder="1" applyFill="1" applyFont="1">
      <alignment shrinkToFit="0" vertical="center" wrapText="1"/>
    </xf>
    <xf borderId="62" fillId="0" fontId="3" numFmtId="0" xfId="0" applyAlignment="1" applyBorder="1" applyFont="1">
      <alignment shrinkToFit="0" vertical="center" wrapText="1"/>
    </xf>
    <xf borderId="63" fillId="0" fontId="2" numFmtId="0" xfId="0" applyBorder="1" applyFont="1"/>
    <xf borderId="64" fillId="0" fontId="2" numFmtId="0" xfId="0" applyBorder="1" applyFont="1"/>
    <xf borderId="5" fillId="0" fontId="5" numFmtId="0" xfId="0" applyAlignment="1" applyBorder="1" applyFont="1">
      <alignment horizontal="left" readingOrder="0" shrinkToFit="0" vertical="center" wrapText="1"/>
    </xf>
    <xf borderId="0" fillId="0" fontId="3" numFmtId="0" xfId="0" applyAlignment="1" applyFont="1">
      <alignment horizontal="center"/>
    </xf>
    <xf borderId="65" fillId="0" fontId="2" numFmtId="0" xfId="0" applyBorder="1" applyFont="1"/>
    <xf borderId="66" fillId="0" fontId="2" numFmtId="0" xfId="0" applyBorder="1" applyFont="1"/>
    <xf borderId="0" fillId="0" fontId="20" numFmtId="0" xfId="0" applyFont="1"/>
    <xf borderId="5" fillId="13" fontId="5" numFmtId="0" xfId="0" applyAlignment="1" applyBorder="1" applyFill="1" applyFont="1">
      <alignment horizontal="left" shrinkToFit="0" vertical="center" wrapText="1"/>
    </xf>
    <xf borderId="1" fillId="2" fontId="1" numFmtId="0" xfId="0" applyAlignment="1" applyBorder="1" applyFill="1" applyFont="1">
      <alignment shrinkToFit="0" vertical="center" wrapText="1"/>
    </xf>
    <xf borderId="0" fillId="0" fontId="7" numFmtId="0" xfId="0" applyAlignment="1" applyFont="1">
      <alignment shrinkToFit="0" vertical="center" wrapText="1"/>
    </xf>
    <xf borderId="46" fillId="0" fontId="16" numFmtId="0" xfId="0" applyAlignment="1" applyBorder="1" applyFont="1">
      <alignment horizontal="left" readingOrder="0" shrinkToFit="0" wrapText="1"/>
    </xf>
    <xf borderId="67" fillId="0" fontId="3" numFmtId="0" xfId="0" applyAlignment="1" applyBorder="1" applyFont="1">
      <alignment shrinkToFit="0" vertical="center" wrapText="1"/>
    </xf>
    <xf borderId="68" fillId="0" fontId="3" numFmtId="0" xfId="0" applyAlignment="1" applyBorder="1" applyFont="1">
      <alignment shrinkToFit="0" vertical="center" wrapText="1"/>
    </xf>
    <xf borderId="46" fillId="0" fontId="16" numFmtId="0" xfId="0" applyAlignment="1" applyBorder="1" applyFont="1">
      <alignment horizontal="left" readingOrder="0"/>
    </xf>
    <xf borderId="57" fillId="0" fontId="21" numFmtId="0" xfId="0" applyBorder="1" applyFont="1"/>
    <xf borderId="57" fillId="0" fontId="22" numFmtId="0" xfId="0" applyBorder="1" applyFont="1"/>
    <xf borderId="55" fillId="0" fontId="22" numFmtId="0" xfId="0" applyBorder="1" applyFont="1"/>
    <xf borderId="35" fillId="0" fontId="3" numFmtId="0" xfId="0" applyAlignment="1" applyBorder="1" applyFont="1">
      <alignment shrinkToFit="0" vertical="center" wrapText="1"/>
    </xf>
    <xf borderId="58" fillId="0" fontId="3" numFmtId="0" xfId="0" applyAlignment="1" applyBorder="1" applyFont="1">
      <alignment horizontal="left" readingOrder="0" shrinkToFit="0" vertical="center" wrapText="1"/>
    </xf>
    <xf borderId="46" fillId="0" fontId="16" numFmtId="0" xfId="0" applyAlignment="1" applyBorder="1" applyFont="1">
      <alignment horizontal="left"/>
    </xf>
    <xf borderId="69" fillId="0" fontId="22" numFmtId="0" xfId="0" applyAlignment="1" applyBorder="1" applyFont="1">
      <alignment shrinkToFit="0" wrapText="1"/>
    </xf>
    <xf borderId="54" fillId="0" fontId="3" numFmtId="0" xfId="0" applyAlignment="1" applyBorder="1" applyFont="1">
      <alignment readingOrder="0" shrinkToFit="0" vertical="center" wrapText="1"/>
    </xf>
    <xf borderId="70" fillId="2" fontId="1" numFmtId="0" xfId="0" applyAlignment="1" applyBorder="1" applyFill="1" applyFont="1">
      <alignment shrinkToFit="0" vertical="center" wrapText="1"/>
    </xf>
    <xf borderId="71" fillId="0" fontId="2" numFmtId="0" xfId="0" applyBorder="1" applyFont="1"/>
    <xf borderId="72" fillId="0" fontId="2" numFmtId="0" xfId="0" applyBorder="1" applyFont="1"/>
    <xf borderId="73" fillId="14" fontId="22" numFmtId="0" xfId="0" applyBorder="1" applyFill="1" applyFont="1"/>
    <xf borderId="46" fillId="13" fontId="16" numFmtId="0" xfId="0" applyAlignment="1" applyBorder="1" applyFill="1" applyFont="1">
      <alignment horizontal="left" shrinkToFit="0" wrapText="1"/>
    </xf>
    <xf borderId="73" fillId="15" fontId="22" numFmtId="0" xfId="0" applyBorder="1" applyFill="1" applyFont="1"/>
    <xf borderId="73" fillId="16" fontId="22" numFmtId="0" xfId="0" applyBorder="1" applyFill="1" applyFont="1"/>
    <xf borderId="0" fillId="0" fontId="16" numFmtId="0" xfId="0" applyAlignment="1" applyFont="1">
      <alignment horizontal="left"/>
    </xf>
    <xf borderId="73" fillId="5" fontId="22" numFmtId="0" xfId="0" applyBorder="1" applyFill="1" applyFont="1"/>
    <xf borderId="46" fillId="0" fontId="3" numFmtId="0" xfId="0" applyAlignment="1" applyBorder="1" applyFont="1">
      <alignment readingOrder="0" shrinkToFit="0" wrapText="1"/>
    </xf>
    <xf borderId="46" fillId="0" fontId="3" numFmtId="0" xfId="0" applyAlignment="1" applyBorder="1" applyFont="1">
      <alignment readingOrder="0" shrinkToFit="0" wrapText="1"/>
    </xf>
    <xf borderId="5" fillId="7" fontId="18" numFmtId="0" xfId="0" applyAlignment="1" applyBorder="1" applyFill="1" applyFont="1">
      <alignment horizontal="center" shrinkToFit="0" vertical="center" wrapText="1"/>
    </xf>
    <xf borderId="4" fillId="7" fontId="18" numFmtId="0" xfId="0" applyAlignment="1" applyBorder="1" applyFill="1" applyFont="1">
      <alignment horizontal="center" shrinkToFit="0" vertical="center" wrapText="1"/>
    </xf>
    <xf borderId="5" fillId="0" fontId="18" numFmtId="0" xfId="0" applyAlignment="1" applyBorder="1" applyFont="1">
      <alignment horizontal="center" readingOrder="0" shrinkToFit="0" vertical="center" wrapText="1"/>
    </xf>
    <xf borderId="4" fillId="0" fontId="18" numFmtId="0" xfId="0" applyAlignment="1" applyBorder="1" applyFont="1">
      <alignment horizontal="center" shrinkToFit="0" vertical="center" wrapText="1"/>
    </xf>
    <xf borderId="5" fillId="2" fontId="1" numFmtId="0" xfId="0" applyAlignment="1" applyBorder="1" applyFill="1" applyFont="1">
      <alignment shrinkToFit="0" vertical="center" wrapText="1"/>
    </xf>
    <xf borderId="14" fillId="0" fontId="18" numFmtId="0" xfId="0" applyAlignment="1" applyBorder="1" applyFont="1">
      <alignment readingOrder="0" shrinkToFit="0" vertical="center" wrapText="1"/>
    </xf>
    <xf borderId="42" fillId="0" fontId="18" numFmtId="0" xfId="0" applyAlignment="1" applyBorder="1" applyFont="1">
      <alignment readingOrder="0" shrinkToFit="0" vertical="center" wrapText="1"/>
    </xf>
    <xf borderId="32" fillId="7" fontId="4" numFmtId="0" xfId="0" applyAlignment="1" applyBorder="1" applyFill="1" applyFont="1">
      <alignment horizontal="center" shrinkToFit="0" vertical="center" wrapText="1"/>
    </xf>
    <xf borderId="74" fillId="7" fontId="4" numFmtId="0" xfId="0" applyAlignment="1" applyBorder="1" applyFill="1" applyFont="1">
      <alignment horizontal="center" shrinkToFit="0" vertical="center" wrapText="1"/>
    </xf>
    <xf borderId="32" fillId="0" fontId="18" numFmtId="0" xfId="0" applyAlignment="1" applyBorder="1" applyFont="1">
      <alignment readingOrder="0" shrinkToFit="0" vertical="center" wrapText="1"/>
    </xf>
    <xf borderId="8" fillId="0" fontId="18" numFmtId="0" xfId="0" applyAlignment="1" applyBorder="1" applyFont="1">
      <alignment readingOrder="0" shrinkToFit="0" vertical="center" wrapText="1"/>
    </xf>
    <xf borderId="32" fillId="0" fontId="18" numFmtId="0" xfId="0" applyAlignment="1" applyBorder="1" applyFont="1">
      <alignment shrinkToFit="0" vertical="center" wrapText="1"/>
    </xf>
    <xf borderId="8" fillId="0" fontId="18" numFmtId="0" xfId="0" applyAlignment="1" applyBorder="1" applyFont="1">
      <alignment shrinkToFit="0" vertical="center" wrapText="1"/>
    </xf>
    <xf borderId="5" fillId="0" fontId="18" numFmtId="0" xfId="0" applyAlignment="1" applyBorder="1" applyFont="1">
      <alignment readingOrder="0" shrinkToFit="0" vertical="center" wrapText="1"/>
    </xf>
    <xf borderId="5" fillId="7" fontId="4" numFmtId="0" xfId="0" applyAlignment="1" applyBorder="1" applyFill="1" applyFont="1">
      <alignment horizontal="center" shrinkToFit="0" vertical="center" wrapText="1"/>
    </xf>
    <xf borderId="4" fillId="7" fontId="4" numFmtId="0" xfId="0" applyAlignment="1" applyBorder="1" applyFill="1" applyFont="1">
      <alignment horizontal="center" shrinkToFit="0" vertical="center" wrapText="1"/>
    </xf>
    <xf borderId="0" fillId="0" fontId="3" numFmtId="0" xfId="0" applyAlignment="1" applyFont="1">
      <alignment shrinkToFit="0" vertical="center" wrapText="1"/>
    </xf>
    <xf borderId="4" fillId="0" fontId="18" numFmtId="164" xfId="0" applyAlignment="1" applyBorder="1" applyFont="1" applyNumberFormat="1">
      <alignment horizontal="center" readingOrder="0" shrinkToFit="0" vertical="center" wrapText="1"/>
    </xf>
    <xf borderId="12" fillId="0" fontId="18" numFmtId="0" xfId="0" applyAlignment="1" applyBorder="1" applyFont="1">
      <alignment readingOrder="0" shrinkToFit="0" vertical="center" wrapText="1"/>
    </xf>
    <xf borderId="9" fillId="0" fontId="18" numFmtId="164" xfId="0" applyAlignment="1" applyBorder="1" applyFont="1" applyNumberFormat="1">
      <alignment horizontal="center" readingOrder="0" shrinkToFit="0" vertical="center" wrapText="1"/>
    </xf>
    <xf borderId="32" fillId="0" fontId="18" numFmtId="164" xfId="0" applyAlignment="1" applyBorder="1" applyFont="1" applyNumberFormat="1">
      <alignment horizontal="center" readingOrder="0" shrinkToFit="0" vertical="center" wrapText="1"/>
    </xf>
    <xf borderId="46" fillId="0" fontId="18" numFmtId="0" xfId="0" applyAlignment="1" applyBorder="1" applyFont="1">
      <alignment readingOrder="0" shrinkToFit="0" vertical="center" wrapText="1"/>
    </xf>
    <xf borderId="46" fillId="0" fontId="18" numFmtId="0" xfId="0" applyAlignment="1" applyBorder="1" applyFont="1">
      <alignment readingOrder="0" shrinkToFit="0" vertical="center" wrapText="1"/>
    </xf>
    <xf borderId="46" fillId="0" fontId="5" numFmtId="0" xfId="0" applyAlignment="1" applyBorder="1" applyFont="1">
      <alignment readingOrder="0" shrinkToFit="0" vertical="center" wrapText="1"/>
    </xf>
    <xf borderId="1" fillId="7" fontId="18" numFmtId="0" xfId="0" applyAlignment="1" applyBorder="1" applyFill="1" applyFont="1">
      <alignment horizontal="center" shrinkToFit="0" vertical="center" wrapText="1"/>
    </xf>
    <xf borderId="46" fillId="0" fontId="16" numFmtId="0" xfId="0" applyAlignment="1" applyBorder="1" applyFont="1">
      <alignment readingOrder="0" shrinkToFit="0" wrapText="1"/>
    </xf>
    <xf borderId="8" fillId="0" fontId="18" numFmtId="165" xfId="0" applyAlignment="1" applyBorder="1" applyFont="1" applyNumberFormat="1">
      <alignment horizontal="center" readingOrder="0" shrinkToFit="0" vertical="center" wrapText="1"/>
    </xf>
    <xf borderId="46" fillId="0" fontId="16" numFmtId="0" xfId="0" applyAlignment="1" applyBorder="1" applyFont="1">
      <alignment readingOrder="0"/>
    </xf>
    <xf borderId="46" fillId="3" fontId="18" numFmtId="0" xfId="0" applyAlignment="1" applyBorder="1" applyFill="1" applyFont="1">
      <alignment shrinkToFit="0" vertical="center" wrapText="1"/>
    </xf>
    <xf borderId="74" fillId="3" fontId="18" numFmtId="166" xfId="0" applyAlignment="1" applyBorder="1" applyFill="1" applyFont="1" applyNumberFormat="1">
      <alignment horizontal="center" shrinkToFit="0" vertical="center" wrapText="1"/>
    </xf>
    <xf borderId="46" fillId="0" fontId="18" numFmtId="0" xfId="0" applyAlignment="1" applyBorder="1" applyFont="1">
      <alignment shrinkToFit="0" vertical="center" wrapText="1"/>
    </xf>
    <xf borderId="8" fillId="0" fontId="18" numFmtId="165" xfId="0" applyAlignment="1" applyBorder="1" applyFont="1" applyNumberFormat="1">
      <alignment horizontal="center" shrinkToFit="0" vertical="center" wrapText="1"/>
    </xf>
    <xf borderId="27" fillId="3" fontId="18" numFmtId="0" xfId="0" applyAlignment="1" applyBorder="1" applyFill="1" applyFont="1">
      <alignment shrinkToFit="0" vertical="center" wrapText="1"/>
    </xf>
    <xf borderId="5" fillId="3" fontId="18" numFmtId="165" xfId="0" applyAlignment="1" applyBorder="1" applyFill="1" applyFont="1" applyNumberFormat="1">
      <alignment horizontal="center" shrinkToFit="0" vertical="center" wrapText="1"/>
    </xf>
    <xf borderId="0" fillId="0" fontId="3" numFmtId="0" xfId="0" applyAlignment="1" applyFont="1">
      <alignment shrinkToFit="0" wrapText="1"/>
    </xf>
    <xf borderId="46" fillId="0" fontId="16" numFmtId="0" xfId="0" applyAlignment="1" applyBorder="1" applyFont="1">
      <alignment horizontal="center" readingOrder="0"/>
    </xf>
    <xf borderId="75" fillId="17" fontId="3" numFmtId="0" xfId="0" applyAlignment="1" applyBorder="1" applyFill="1" applyFont="1">
      <alignment horizontal="center" readingOrder="0" shrinkToFit="0" vertical="center" wrapText="1"/>
    </xf>
    <xf borderId="76" fillId="0" fontId="2" numFmtId="0" xfId="0" applyBorder="1" applyFont="1"/>
    <xf borderId="77" fillId="0" fontId="2" numFmtId="0" xfId="0" applyBorder="1" applyFont="1"/>
    <xf borderId="75" fillId="17" fontId="3" numFmtId="0" xfId="0" applyAlignment="1" applyBorder="1" applyFill="1" applyFont="1">
      <alignment horizontal="center" shrinkToFit="0" vertical="center" wrapText="1"/>
    </xf>
  </cellXfs>
  <cellStyles count="1">
    <cellStyle xfId="0" name="Normal" builtinId="0"/>
  </cellStyles>
  <dxfs count="4">
    <dxf>
      <font/>
      <fill>
        <patternFill patternType="solid">
          <fgColor rgb="FFFF0000"/>
          <bgColor rgb="FFFF0000"/>
        </patternFill>
      </fill>
      <border/>
    </dxf>
    <dxf>
      <font/>
      <fill>
        <patternFill patternType="solid">
          <fgColor rgb="FFFFC000"/>
          <bgColor rgb="FFFFC000"/>
        </patternFill>
      </fill>
      <border/>
    </dxf>
    <dxf>
      <font/>
      <fill>
        <patternFill patternType="solid">
          <fgColor theme="4"/>
          <bgColor theme="4"/>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0</xdr:rowOff>
    </xdr:from>
    <xdr:ext cx="7734300" cy="962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96</xdr:row>
      <xdr:rowOff>200025</xdr:rowOff>
    </xdr:from>
    <xdr:ext cx="10391775" cy="1152525"/>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38100</xdr:colOff>
      <xdr:row>41</xdr:row>
      <xdr:rowOff>47625</xdr:rowOff>
    </xdr:from>
    <xdr:ext cx="923925" cy="2066925"/>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27</xdr:row>
      <xdr:rowOff>95250</xdr:rowOff>
    </xdr:from>
    <xdr:ext cx="7524750" cy="4714875"/>
    <xdr:grpSp>
      <xdr:nvGrpSpPr>
        <xdr:cNvPr id="2" name="Shape 2"/>
        <xdr:cNvGrpSpPr/>
      </xdr:nvGrpSpPr>
      <xdr:grpSpPr>
        <a:xfrm>
          <a:off x="1583625" y="1422563"/>
          <a:ext cx="7524750" cy="4714875"/>
          <a:chOff x="1583625" y="1422563"/>
          <a:chExt cx="7524750" cy="4714875"/>
        </a:xfrm>
      </xdr:grpSpPr>
      <xdr:grpSp>
        <xdr:nvGrpSpPr>
          <xdr:cNvPr id="4" name="Shape 4"/>
          <xdr:cNvGrpSpPr/>
        </xdr:nvGrpSpPr>
        <xdr:grpSpPr>
          <a:xfrm>
            <a:off x="1583625" y="1422563"/>
            <a:ext cx="7524750" cy="4714875"/>
            <a:chOff x="1583625" y="1422563"/>
            <a:chExt cx="7524750" cy="4714875"/>
          </a:xfrm>
        </xdr:grpSpPr>
        <xdr:sp>
          <xdr:nvSpPr>
            <xdr:cNvPr id="5" name="Shape 5"/>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 name="Shape 6"/>
            <xdr:cNvGrpSpPr/>
          </xdr:nvGrpSpPr>
          <xdr:grpSpPr>
            <a:xfrm>
              <a:off x="1583625" y="1422563"/>
              <a:ext cx="7524750" cy="4714875"/>
              <a:chOff x="1583625" y="1422563"/>
              <a:chExt cx="7524750" cy="4714875"/>
            </a:xfrm>
          </xdr:grpSpPr>
          <xdr:sp>
            <xdr:nvSpPr>
              <xdr:cNvPr id="7" name="Shape 7"/>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 name="Shape 8"/>
              <xdr:cNvGrpSpPr/>
            </xdr:nvGrpSpPr>
            <xdr:grpSpPr>
              <a:xfrm>
                <a:off x="1583625" y="1422563"/>
                <a:ext cx="7524750" cy="4714875"/>
                <a:chOff x="1583625" y="1422563"/>
                <a:chExt cx="7524750" cy="4714875"/>
              </a:xfrm>
            </xdr:grpSpPr>
            <xdr:sp>
              <xdr:nvSpPr>
                <xdr:cNvPr id="9" name="Shape 9"/>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 name="Shape 10"/>
                <xdr:cNvGrpSpPr/>
              </xdr:nvGrpSpPr>
              <xdr:grpSpPr>
                <a:xfrm>
                  <a:off x="1583625" y="1422563"/>
                  <a:ext cx="7524750" cy="4714875"/>
                  <a:chOff x="1583625" y="1422563"/>
                  <a:chExt cx="7524750" cy="4714875"/>
                </a:xfrm>
              </xdr:grpSpPr>
              <xdr:sp>
                <xdr:nvSpPr>
                  <xdr:cNvPr id="11" name="Shape 11"/>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2" name="Shape 12"/>
                  <xdr:cNvGrpSpPr/>
                </xdr:nvGrpSpPr>
                <xdr:grpSpPr>
                  <a:xfrm>
                    <a:off x="1583625" y="1422563"/>
                    <a:ext cx="7524750" cy="4714875"/>
                    <a:chOff x="1583625" y="1422563"/>
                    <a:chExt cx="7524750" cy="4714875"/>
                  </a:xfrm>
                </xdr:grpSpPr>
                <xdr:sp>
                  <xdr:nvSpPr>
                    <xdr:cNvPr id="13" name="Shape 13"/>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 name="Shape 14"/>
                    <xdr:cNvGrpSpPr/>
                  </xdr:nvGrpSpPr>
                  <xdr:grpSpPr>
                    <a:xfrm>
                      <a:off x="1583625" y="1422563"/>
                      <a:ext cx="7524750" cy="4714875"/>
                      <a:chOff x="1583625" y="1422563"/>
                      <a:chExt cx="7524750" cy="4714875"/>
                    </a:xfrm>
                  </xdr:grpSpPr>
                  <xdr:sp>
                    <xdr:nvSpPr>
                      <xdr:cNvPr id="15" name="Shape 15"/>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 name="Shape 16"/>
                      <xdr:cNvGrpSpPr/>
                    </xdr:nvGrpSpPr>
                    <xdr:grpSpPr>
                      <a:xfrm>
                        <a:off x="1583625" y="1422563"/>
                        <a:ext cx="7524750" cy="4714875"/>
                        <a:chOff x="1583625" y="1422563"/>
                        <a:chExt cx="7524750" cy="4714875"/>
                      </a:xfrm>
                    </xdr:grpSpPr>
                    <xdr:sp>
                      <xdr:nvSpPr>
                        <xdr:cNvPr id="17" name="Shape 17"/>
                        <xdr:cNvSpPr/>
                      </xdr:nvSpPr>
                      <xdr:spPr>
                        <a:xfrm>
                          <a:off x="1583625" y="1422563"/>
                          <a:ext cx="7524750" cy="471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 name="Shape 18"/>
                        <xdr:cNvGrpSpPr/>
                      </xdr:nvGrpSpPr>
                      <xdr:grpSpPr>
                        <a:xfrm>
                          <a:off x="1583625" y="1422563"/>
                          <a:ext cx="7524749" cy="4714875"/>
                          <a:chOff x="-294231" y="2"/>
                          <a:chExt cx="7273026" cy="5405711"/>
                        </a:xfrm>
                      </xdr:grpSpPr>
                      <xdr:sp>
                        <xdr:nvSpPr>
                          <xdr:cNvPr id="19" name="Shape 19"/>
                          <xdr:cNvSpPr/>
                        </xdr:nvSpPr>
                        <xdr:spPr>
                          <a:xfrm>
                            <a:off x="-294231" y="2"/>
                            <a:ext cx="7273025" cy="5405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0" name="Shape 20"/>
                          <xdr:cNvGrpSpPr/>
                        </xdr:nvGrpSpPr>
                        <xdr:grpSpPr>
                          <a:xfrm>
                            <a:off x="-294231" y="2"/>
                            <a:ext cx="7273026" cy="5405711"/>
                            <a:chOff x="-294231" y="2"/>
                            <a:chExt cx="7273026" cy="5405711"/>
                          </a:xfrm>
                        </xdr:grpSpPr>
                        <xdr:grpSp>
                          <xdr:nvGrpSpPr>
                            <xdr:cNvPr id="21" name="Shape 21"/>
                            <xdr:cNvGrpSpPr/>
                          </xdr:nvGrpSpPr>
                          <xdr:grpSpPr>
                            <a:xfrm>
                              <a:off x="-294231" y="2"/>
                              <a:ext cx="7273026" cy="5405711"/>
                              <a:chOff x="-294231" y="2"/>
                              <a:chExt cx="7273026" cy="5405711"/>
                            </a:xfrm>
                          </xdr:grpSpPr>
                          <xdr:grpSp>
                            <xdr:nvGrpSpPr>
                              <xdr:cNvPr id="22" name="Shape 22"/>
                              <xdr:cNvGrpSpPr/>
                            </xdr:nvGrpSpPr>
                            <xdr:grpSpPr>
                              <a:xfrm>
                                <a:off x="-294231" y="2"/>
                                <a:ext cx="7273026" cy="5405711"/>
                                <a:chOff x="-294231" y="2"/>
                                <a:chExt cx="7273026" cy="5405711"/>
                              </a:xfrm>
                            </xdr:grpSpPr>
                            <xdr:grpSp>
                              <xdr:nvGrpSpPr>
                                <xdr:cNvPr id="23" name="Shape 23"/>
                                <xdr:cNvGrpSpPr/>
                              </xdr:nvGrpSpPr>
                              <xdr:grpSpPr>
                                <a:xfrm>
                                  <a:off x="-294231" y="2"/>
                                  <a:ext cx="7273026" cy="5405711"/>
                                  <a:chOff x="-801851" y="-255493"/>
                                  <a:chExt cx="8186907" cy="6333055"/>
                                </a:xfrm>
                              </xdr:grpSpPr>
                              <xdr:grpSp>
                                <xdr:nvGrpSpPr>
                                  <xdr:cNvPr id="24" name="Shape 24"/>
                                  <xdr:cNvGrpSpPr/>
                                </xdr:nvGrpSpPr>
                                <xdr:grpSpPr>
                                  <a:xfrm>
                                    <a:off x="268942" y="0"/>
                                    <a:ext cx="6023610" cy="5741670"/>
                                    <a:chOff x="0" y="0"/>
                                    <a:chExt cx="6023610" cy="5741670"/>
                                  </a:xfrm>
                                </xdr:grpSpPr>
                                <xdr:sp>
                                  <xdr:nvSpPr>
                                    <xdr:cNvPr id="25" name="Shape 25"/>
                                    <xdr:cNvSpPr/>
                                  </xdr:nvSpPr>
                                  <xdr:spPr>
                                    <a:xfrm>
                                      <a:off x="540566" y="497542"/>
                                      <a:ext cx="2205206" cy="2164667"/>
                                    </a:xfrm>
                                    <a:prstGeom prst="roundRect">
                                      <a:avLst>
                                        <a:gd fmla="val 16667" name="adj"/>
                                      </a:avLst>
                                    </a:prstGeom>
                                    <a:solidFill>
                                      <a:schemeClr val="accent5"/>
                                    </a:solidFill>
                                    <a:ln cap="flat" cmpd="sng" w="12700">
                                      <a:solidFill>
                                        <a:srgbClr val="2E75B5"/>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26" name="Shape 26"/>
                                    <xdr:cNvSpPr/>
                                  </xdr:nvSpPr>
                                  <xdr:spPr>
                                    <a:xfrm>
                                      <a:off x="3213847" y="470647"/>
                                      <a:ext cx="2286000" cy="2191562"/>
                                    </a:xfrm>
                                    <a:prstGeom prst="roundRect">
                                      <a:avLst>
                                        <a:gd fmla="val 16667" name="adj"/>
                                      </a:avLst>
                                    </a:prstGeom>
                                    <a:solidFill>
                                      <a:srgbClr val="00B050"/>
                                    </a:solidFill>
                                    <a:ln cap="flat" cmpd="sng" w="12700">
                                      <a:solidFill>
                                        <a:srgbClr val="2E75B5"/>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27" name="Shape 27"/>
                                    <xdr:cNvSpPr/>
                                  </xdr:nvSpPr>
                                  <xdr:spPr>
                                    <a:xfrm>
                                      <a:off x="521736" y="3076874"/>
                                      <a:ext cx="2205205" cy="2285998"/>
                                    </a:xfrm>
                                    <a:prstGeom prst="roundRect">
                                      <a:avLst>
                                        <a:gd fmla="val 16667" name="adj"/>
                                      </a:avLst>
                                    </a:prstGeom>
                                    <a:solidFill>
                                      <a:srgbClr val="FF0000"/>
                                    </a:solidFill>
                                    <a:ln cap="flat" cmpd="sng" w="12700">
                                      <a:solidFill>
                                        <a:srgbClr val="2E75B5"/>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28" name="Shape 28"/>
                                    <xdr:cNvSpPr/>
                                  </xdr:nvSpPr>
                                  <xdr:spPr>
                                    <a:xfrm>
                                      <a:off x="3227294" y="3065930"/>
                                      <a:ext cx="2205317" cy="2285999"/>
                                    </a:xfrm>
                                    <a:prstGeom prst="roundRect">
                                      <a:avLst>
                                        <a:gd fmla="val 16667" name="adj"/>
                                      </a:avLst>
                                    </a:prstGeom>
                                    <a:solidFill>
                                      <a:schemeClr val="accent4"/>
                                    </a:solidFill>
                                    <a:ln cap="flat" cmpd="sng" w="12700">
                                      <a:solidFill>
                                        <a:srgbClr val="2E75B5"/>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29" name="Shape 29"/>
                                    <xdr:cNvSpPr/>
                                  </xdr:nvSpPr>
                                  <xdr:spPr>
                                    <a:xfrm>
                                      <a:off x="0" y="0"/>
                                      <a:ext cx="6023610" cy="5741670"/>
                                    </a:xfrm>
                                    <a:prstGeom prst="quadArrow">
                                      <a:avLst>
                                        <a:gd fmla="val 1890" name="adj1"/>
                                        <a:gd fmla="val 3296" name="adj2"/>
                                        <a:gd fmla="val 4232" name="adj3"/>
                                      </a:avLst>
                                    </a:prstGeom>
                                    <a:solidFill>
                                      <a:srgbClr val="DBDBDB"/>
                                    </a:soli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grpSp>
                                <xdr:nvGrpSpPr>
                                  <xdr:cNvPr id="30" name="Shape 30"/>
                                  <xdr:cNvGrpSpPr/>
                                </xdr:nvGrpSpPr>
                                <xdr:grpSpPr>
                                  <a:xfrm>
                                    <a:off x="-801851" y="-255493"/>
                                    <a:ext cx="8186907" cy="6333055"/>
                                    <a:chOff x="-801851" y="-1304363"/>
                                    <a:chExt cx="8186907" cy="6333055"/>
                                  </a:xfrm>
                                </xdr:grpSpPr>
                                <xdr:sp>
                                  <xdr:nvSpPr>
                                    <xdr:cNvPr id="31" name="Shape 31"/>
                                    <xdr:cNvSpPr txBox="1"/>
                                  </xdr:nvSpPr>
                                  <xdr:spPr>
                                    <a:xfrm>
                                      <a:off x="-801851" y="1476285"/>
                                      <a:ext cx="1344706" cy="685800"/>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rgbClr val="4472C4"/>
                                        </a:buClr>
                                        <a:buSzPts val="1400"/>
                                        <a:buFont typeface="Arial"/>
                                        <a:buNone/>
                                      </a:pPr>
                                      <a:r>
                                        <a:rPr b="1" lang="en-US" sz="1400">
                                          <a:solidFill>
                                            <a:srgbClr val="4472C4"/>
                                          </a:solidFill>
                                          <a:latin typeface="Arial"/>
                                          <a:ea typeface="Arial"/>
                                          <a:cs typeface="Arial"/>
                                          <a:sym typeface="Arial"/>
                                        </a:rPr>
                                        <a:t>BAJO</a:t>
                                      </a:r>
                                      <a:endParaRPr sz="1100"/>
                                    </a:p>
                                    <a:p>
                                      <a:pPr indent="0" lvl="0" marL="0" rtl="0" algn="ctr">
                                        <a:lnSpc>
                                          <a:spcPct val="107000"/>
                                        </a:lnSpc>
                                        <a:spcBef>
                                          <a:spcPts val="800"/>
                                        </a:spcBef>
                                        <a:spcAft>
                                          <a:spcPts val="0"/>
                                        </a:spcAft>
                                        <a:buClr>
                                          <a:srgbClr val="4472C4"/>
                                        </a:buClr>
                                        <a:buSzPts val="1400"/>
                                        <a:buFont typeface="Arial"/>
                                        <a:buNone/>
                                      </a:pPr>
                                      <a:r>
                                        <a:rPr b="1" lang="en-US" sz="1400">
                                          <a:solidFill>
                                            <a:srgbClr val="4472C4"/>
                                          </a:solidFill>
                                          <a:latin typeface="Arial"/>
                                          <a:ea typeface="Arial"/>
                                          <a:cs typeface="Arial"/>
                                          <a:sym typeface="Arial"/>
                                        </a:rPr>
                                        <a:t>INTERÉS</a:t>
                                      </a:r>
                                      <a:endParaRPr sz="1100"/>
                                    </a:p>
                                  </xdr:txBody>
                                </xdr:sp>
                                <xdr:grpSp>
                                  <xdr:nvGrpSpPr>
                                    <xdr:cNvPr id="32" name="Shape 32"/>
                                    <xdr:cNvGrpSpPr/>
                                  </xdr:nvGrpSpPr>
                                  <xdr:grpSpPr>
                                    <a:xfrm>
                                      <a:off x="2511696" y="-1304363"/>
                                      <a:ext cx="4873360" cy="6333055"/>
                                      <a:chOff x="2248987" y="-1626877"/>
                                      <a:chExt cx="4798700" cy="6333376"/>
                                    </a:xfrm>
                                  </xdr:grpSpPr>
                                  <xdr:sp>
                                    <xdr:nvSpPr>
                                      <xdr:cNvPr id="33" name="Shape 33"/>
                                      <xdr:cNvSpPr txBox="1"/>
                                    </xdr:nvSpPr>
                                    <xdr:spPr>
                                      <a:xfrm>
                                        <a:off x="2357794" y="4370584"/>
                                        <a:ext cx="1344706" cy="335915"/>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rgbClr val="4472C4"/>
                                          </a:buClr>
                                          <a:buSzPts val="1400"/>
                                          <a:buFont typeface="Arial"/>
                                          <a:buNone/>
                                        </a:pPr>
                                        <a:r>
                                          <a:rPr b="1" lang="en-US" sz="1400">
                                            <a:solidFill>
                                              <a:srgbClr val="4472C4"/>
                                            </a:solidFill>
                                            <a:latin typeface="Arial"/>
                                            <a:ea typeface="Arial"/>
                                            <a:cs typeface="Arial"/>
                                            <a:sym typeface="Arial"/>
                                          </a:rPr>
                                          <a:t>BAJO PODER</a:t>
                                        </a:r>
                                        <a:endParaRPr sz="1100"/>
                                      </a:p>
                                    </xdr:txBody>
                                  </xdr:sp>
                                  <xdr:grpSp>
                                    <xdr:nvGrpSpPr>
                                      <xdr:cNvPr id="34" name="Shape 34"/>
                                      <xdr:cNvGrpSpPr/>
                                    </xdr:nvGrpSpPr>
                                    <xdr:grpSpPr>
                                      <a:xfrm>
                                        <a:off x="2248987" y="-1626877"/>
                                        <a:ext cx="4798700" cy="3467562"/>
                                        <a:chOff x="2248987" y="-1626877"/>
                                        <a:chExt cx="4798700" cy="3467562"/>
                                      </a:xfrm>
                                    </xdr:grpSpPr>
                                    <xdr:grpSp>
                                      <xdr:nvGrpSpPr>
                                        <xdr:cNvPr id="35" name="Shape 35"/>
                                        <xdr:cNvGrpSpPr/>
                                      </xdr:nvGrpSpPr>
                                      <xdr:grpSpPr>
                                        <a:xfrm>
                                          <a:off x="2248987" y="-1626877"/>
                                          <a:ext cx="1563901" cy="3301032"/>
                                          <a:chOff x="2248987" y="-1626877"/>
                                          <a:chExt cx="1563901" cy="3301032"/>
                                        </a:xfrm>
                                      </xdr:grpSpPr>
                                      <xdr:grpSp>
                                        <xdr:nvGrpSpPr>
                                          <xdr:cNvPr id="36" name="Shape 36"/>
                                          <xdr:cNvGrpSpPr/>
                                        </xdr:nvGrpSpPr>
                                        <xdr:grpSpPr>
                                          <a:xfrm>
                                            <a:off x="2248987" y="-456924"/>
                                            <a:ext cx="1563901" cy="2131079"/>
                                            <a:chOff x="2248987" y="-793099"/>
                                            <a:chExt cx="1563901" cy="2131079"/>
                                          </a:xfrm>
                                        </xdr:grpSpPr>
                                        <xdr:sp>
                                          <xdr:nvSpPr>
                                            <xdr:cNvPr id="37" name="Shape 37"/>
                                            <xdr:cNvSpPr txBox="1"/>
                                          </xdr:nvSpPr>
                                          <xdr:spPr>
                                            <a:xfrm rot="-5400000">
                                              <a:off x="2180764" y="-212870"/>
                                              <a:ext cx="1580602" cy="420143"/>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rgbClr val="7030A0"/>
                                                </a:buClr>
                                                <a:buSzPts val="2000"/>
                                                <a:buFont typeface="Arial"/>
                                                <a:buNone/>
                                              </a:pPr>
                                              <a:r>
                                                <a:rPr b="1" lang="en-US" sz="2000">
                                                  <a:solidFill>
                                                    <a:srgbClr val="7030A0"/>
                                                  </a:solidFill>
                                                  <a:latin typeface="Arial"/>
                                                  <a:ea typeface="Arial"/>
                                                  <a:cs typeface="Arial"/>
                                                  <a:sym typeface="Arial"/>
                                                </a:rPr>
                                                <a:t>PODER</a:t>
                                              </a:r>
                                              <a:endParaRPr sz="1100"/>
                                            </a:p>
                                          </xdr:txBody>
                                        </xdr:sp>
                                        <xdr:sp>
                                          <xdr:nvSpPr>
                                            <xdr:cNvPr id="38" name="Shape 38"/>
                                            <xdr:cNvSpPr txBox="1"/>
                                          </xdr:nvSpPr>
                                          <xdr:spPr>
                                            <a:xfrm>
                                              <a:off x="2248987" y="924722"/>
                                              <a:ext cx="1563901" cy="413257"/>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rgbClr val="7030A0"/>
                                                </a:buClr>
                                                <a:buSzPts val="2000"/>
                                                <a:buFont typeface="Arial"/>
                                                <a:buNone/>
                                              </a:pPr>
                                              <a:r>
                                                <a:rPr b="1" lang="en-US" sz="2000">
                                                  <a:solidFill>
                                                    <a:srgbClr val="7030A0"/>
                                                  </a:solidFill>
                                                  <a:latin typeface="Arial"/>
                                                  <a:ea typeface="Arial"/>
                                                  <a:cs typeface="Arial"/>
                                                  <a:sym typeface="Arial"/>
                                                </a:rPr>
                                                <a:t>INTERÉS</a:t>
                                              </a:r>
                                              <a:endParaRPr sz="1100"/>
                                            </a:p>
                                          </xdr:txBody>
                                        </xdr:sp>
                                      </xdr:grpSp>
                                      <xdr:sp>
                                        <xdr:nvSpPr>
                                          <xdr:cNvPr id="39" name="Shape 39"/>
                                          <xdr:cNvSpPr txBox="1"/>
                                        </xdr:nvSpPr>
                                        <xdr:spPr>
                                          <a:xfrm>
                                            <a:off x="2357778" y="-1626877"/>
                                            <a:ext cx="1344706" cy="335915"/>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rgbClr val="4472C4"/>
                                              </a:buClr>
                                              <a:buSzPts val="1400"/>
                                              <a:buFont typeface="Arial"/>
                                              <a:buNone/>
                                            </a:pPr>
                                            <a:r>
                                              <a:rPr b="1" lang="en-US" sz="1400">
                                                <a:solidFill>
                                                  <a:srgbClr val="4472C4"/>
                                                </a:solidFill>
                                                <a:latin typeface="Arial"/>
                                                <a:ea typeface="Arial"/>
                                                <a:cs typeface="Arial"/>
                                                <a:sym typeface="Arial"/>
                                              </a:rPr>
                                              <a:t>ALTO PODER</a:t>
                                            </a:r>
                                            <a:endParaRPr sz="1100"/>
                                          </a:p>
                                        </xdr:txBody>
                                      </xdr:sp>
                                    </xdr:grpSp>
                                    <xdr:sp>
                                      <xdr:nvSpPr>
                                        <xdr:cNvPr id="40" name="Shape 40"/>
                                        <xdr:cNvSpPr txBox="1"/>
                                      </xdr:nvSpPr>
                                      <xdr:spPr>
                                        <a:xfrm>
                                          <a:off x="5519534" y="1154885"/>
                                          <a:ext cx="1528153" cy="685800"/>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rgbClr val="4472C4"/>
                                            </a:buClr>
                                            <a:buSzPts val="1400"/>
                                            <a:buFont typeface="Arial"/>
                                            <a:buNone/>
                                          </a:pPr>
                                          <a:r>
                                            <a:rPr b="1" lang="en-US" sz="1400">
                                              <a:solidFill>
                                                <a:srgbClr val="4472C4"/>
                                              </a:solidFill>
                                              <a:latin typeface="Arial"/>
                                              <a:ea typeface="Arial"/>
                                              <a:cs typeface="Arial"/>
                                              <a:sym typeface="Arial"/>
                                            </a:rPr>
                                            <a:t>ALTO </a:t>
                                          </a:r>
                                          <a:endParaRPr sz="1100"/>
                                        </a:p>
                                        <a:p>
                                          <a:pPr indent="0" lvl="0" marL="0" rtl="0" algn="ctr">
                                            <a:lnSpc>
                                              <a:spcPct val="107000"/>
                                            </a:lnSpc>
                                            <a:spcBef>
                                              <a:spcPts val="800"/>
                                            </a:spcBef>
                                            <a:spcAft>
                                              <a:spcPts val="0"/>
                                            </a:spcAft>
                                            <a:buClr>
                                              <a:srgbClr val="4472C4"/>
                                            </a:buClr>
                                            <a:buSzPts val="1400"/>
                                            <a:buFont typeface="Arial"/>
                                            <a:buNone/>
                                          </a:pPr>
                                          <a:r>
                                            <a:rPr b="1" lang="en-US" sz="1400">
                                              <a:solidFill>
                                                <a:srgbClr val="4472C4"/>
                                              </a:solidFill>
                                              <a:latin typeface="Arial"/>
                                              <a:ea typeface="Arial"/>
                                              <a:cs typeface="Arial"/>
                                              <a:sym typeface="Arial"/>
                                            </a:rPr>
                                            <a:t>INTERÉS</a:t>
                                          </a:r>
                                          <a:endParaRPr sz="1100"/>
                                        </a:p>
                                      </xdr:txBody>
                                    </xdr:sp>
                                  </xdr:grpSp>
                                </xdr:grpSp>
                              </xdr:grpSp>
                            </xdr:grpSp>
                            <xdr:sp>
                              <xdr:nvSpPr>
                                <xdr:cNvPr id="41" name="Shape 41"/>
                                <xdr:cNvSpPr txBox="1"/>
                              </xdr:nvSpPr>
                              <xdr:spPr>
                                <a:xfrm>
                                  <a:off x="1384817" y="688829"/>
                                  <a:ext cx="1521720" cy="327662"/>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chemeClr val="lt1"/>
                                    </a:buClr>
                                    <a:buSzPts val="1200"/>
                                    <a:buFont typeface="Arial"/>
                                    <a:buNone/>
                                  </a:pPr>
                                  <a:r>
                                    <a:rPr b="1" lang="en-US" sz="1200">
                                      <a:solidFill>
                                        <a:schemeClr val="lt1"/>
                                      </a:solidFill>
                                      <a:latin typeface="Arial"/>
                                      <a:ea typeface="Arial"/>
                                      <a:cs typeface="Arial"/>
                                      <a:sym typeface="Arial"/>
                                    </a:rPr>
                                    <a:t>Mantener Satisfecho</a:t>
                                  </a:r>
                                  <a:endParaRPr b="1" sz="1000">
                                    <a:solidFill>
                                      <a:schemeClr val="lt1"/>
                                    </a:solidFill>
                                  </a:endParaRPr>
                                </a:p>
                              </xdr:txBody>
                            </xdr:sp>
                          </xdr:grpSp>
                          <xdr:sp>
                            <xdr:nvSpPr>
                              <xdr:cNvPr id="42" name="Shape 42"/>
                              <xdr:cNvSpPr txBox="1"/>
                            </xdr:nvSpPr>
                            <xdr:spPr>
                              <a:xfrm>
                                <a:off x="3836709" y="707010"/>
                                <a:ext cx="1363851" cy="337508"/>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chemeClr val="lt1"/>
                                  </a:buClr>
                                  <a:buSzPts val="1200"/>
                                  <a:buFont typeface="Arial"/>
                                  <a:buNone/>
                                </a:pPr>
                                <a:r>
                                  <a:rPr b="1" lang="en-US" sz="1200">
                                    <a:solidFill>
                                      <a:schemeClr val="lt1"/>
                                    </a:solidFill>
                                    <a:latin typeface="Arial"/>
                                    <a:ea typeface="Arial"/>
                                    <a:cs typeface="Arial"/>
                                    <a:sym typeface="Arial"/>
                                  </a:rPr>
                                  <a:t>Gestionar de cerca</a:t>
                                </a:r>
                                <a:endParaRPr b="1" sz="1000">
                                  <a:solidFill>
                                    <a:schemeClr val="lt1"/>
                                  </a:solidFill>
                                </a:endParaRPr>
                              </a:p>
                            </xdr:txBody>
                          </xdr:sp>
                        </xdr:grpSp>
                        <xdr:sp>
                          <xdr:nvSpPr>
                            <xdr:cNvPr id="43" name="Shape 43"/>
                            <xdr:cNvSpPr txBox="1"/>
                          </xdr:nvSpPr>
                          <xdr:spPr>
                            <a:xfrm>
                              <a:off x="3836709" y="2922309"/>
                              <a:ext cx="1363851" cy="261699"/>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chemeClr val="lt1"/>
                                </a:buClr>
                                <a:buSzPts val="1100"/>
                                <a:buFont typeface="Arial"/>
                                <a:buNone/>
                              </a:pPr>
                              <a:r>
                                <a:rPr b="1" lang="en-US" sz="1100">
                                  <a:solidFill>
                                    <a:schemeClr val="lt1"/>
                                  </a:solidFill>
                                  <a:latin typeface="Arial"/>
                                  <a:ea typeface="Arial"/>
                                  <a:cs typeface="Arial"/>
                                  <a:sym typeface="Arial"/>
                                </a:rPr>
                                <a:t>Mantener Informado</a:t>
                              </a:r>
                              <a:endParaRPr b="1" sz="900">
                                <a:solidFill>
                                  <a:schemeClr val="lt1"/>
                                </a:solidFill>
                              </a:endParaRPr>
                            </a:p>
                          </xdr:txBody>
                        </xdr:sp>
                      </xdr:grpSp>
                      <xdr:sp>
                        <xdr:nvSpPr>
                          <xdr:cNvPr id="44" name="Shape 44"/>
                          <xdr:cNvSpPr txBox="1"/>
                        </xdr:nvSpPr>
                        <xdr:spPr>
                          <a:xfrm>
                            <a:off x="1291471" y="2921017"/>
                            <a:ext cx="1678029" cy="477873"/>
                          </a:xfrm>
                          <a:prstGeom prst="rect">
                            <a:avLst/>
                          </a:prstGeom>
                          <a:noFill/>
                          <a:ln>
                            <a:noFill/>
                          </a:ln>
                        </xdr:spPr>
                        <xdr:txBody>
                          <a:bodyPr anchorCtr="0" anchor="t" bIns="45700" lIns="91425" spcFirstLastPara="1" rIns="91425" wrap="square" tIns="45700">
                            <a:noAutofit/>
                          </a:bodyPr>
                          <a:lstStyle/>
                          <a:p>
                            <a:pPr indent="0" lvl="0" marL="0" rtl="0" algn="ctr">
                              <a:lnSpc>
                                <a:spcPct val="107000"/>
                              </a:lnSpc>
                              <a:spcBef>
                                <a:spcPts val="0"/>
                              </a:spcBef>
                              <a:spcAft>
                                <a:spcPts val="0"/>
                              </a:spcAft>
                              <a:buClr>
                                <a:schemeClr val="lt1"/>
                              </a:buClr>
                              <a:buSzPts val="1100"/>
                              <a:buFont typeface="Arial"/>
                              <a:buNone/>
                            </a:pPr>
                            <a:r>
                              <a:rPr b="1" lang="en-US" sz="1100">
                                <a:solidFill>
                                  <a:schemeClr val="lt1"/>
                                </a:solidFill>
                                <a:latin typeface="Arial"/>
                                <a:ea typeface="Arial"/>
                                <a:cs typeface="Arial"/>
                                <a:sym typeface="Arial"/>
                              </a:rPr>
                              <a:t>Monitorear por si cambian de estado</a:t>
                            </a:r>
                            <a:endParaRPr b="1" sz="900">
                              <a:solidFill>
                                <a:schemeClr val="lt1"/>
                              </a:solidFill>
                            </a:endParaRPr>
                          </a:p>
                        </xdr:txBody>
                      </xdr:sp>
                    </xdr:grpSp>
                  </xdr:grpSp>
                </xdr:grpSp>
              </xdr:grpSp>
            </xdr:grpSp>
          </xdr:grpSp>
        </xdr:grpSp>
      </xdr:grpSp>
    </xdr:grpSp>
    <xdr:clientData fLocksWithSheet="0"/>
  </xdr:oneCellAnchor>
  <xdr:oneCellAnchor>
    <xdr:from>
      <xdr:col>0</xdr:col>
      <xdr:colOff>0</xdr:colOff>
      <xdr:row>27</xdr:row>
      <xdr:rowOff>0</xdr:rowOff>
    </xdr:from>
    <xdr:ext cx="10696575" cy="6286500"/>
    <xdr:grpSp>
      <xdr:nvGrpSpPr>
        <xdr:cNvPr id="2" name="Shape 2" title="Dibujo"/>
        <xdr:cNvGrpSpPr/>
      </xdr:nvGrpSpPr>
      <xdr:grpSpPr>
        <a:xfrm>
          <a:off x="0" y="646275"/>
          <a:ext cx="10692000" cy="6267600"/>
          <a:chOff x="0" y="646275"/>
          <a:chExt cx="10692000" cy="6267600"/>
        </a:xfrm>
      </xdr:grpSpPr>
      <xdr:sp>
        <xdr:nvSpPr>
          <xdr:cNvPr id="45" name="Shape 45"/>
          <xdr:cNvSpPr/>
        </xdr:nvSpPr>
        <xdr:spPr>
          <a:xfrm>
            <a:off x="0" y="646275"/>
            <a:ext cx="10692000" cy="6267600"/>
          </a:xfrm>
          <a:prstGeom prst="rect">
            <a:avLst/>
          </a:prstGeom>
          <a:noFill/>
          <a:ln cap="flat" cmpd="sng" w="12700">
            <a:solidFill>
              <a:srgbClr val="BFBFBF"/>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6" name="Shape 46"/>
          <xdr:cNvSpPr/>
        </xdr:nvSpPr>
        <xdr:spPr>
          <a:xfrm>
            <a:off x="5439950" y="1992413"/>
            <a:ext cx="285900" cy="276300"/>
          </a:xfrm>
          <a:prstGeom prst="ellipse">
            <a:avLst/>
          </a:prstGeom>
          <a:solidFill>
            <a:schemeClr val="accent4"/>
          </a:solidFill>
          <a:ln cap="flat" cmpd="sng" w="12700">
            <a:solidFill>
              <a:srgbClr val="000000"/>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47" name="Shape 47"/>
          <xdr:cNvSpPr/>
        </xdr:nvSpPr>
        <xdr:spPr>
          <a:xfrm>
            <a:off x="5624350" y="1578063"/>
            <a:ext cx="285900" cy="276300"/>
          </a:xfrm>
          <a:prstGeom prst="ellipse">
            <a:avLst/>
          </a:prstGeom>
          <a:solidFill>
            <a:srgbClr val="825C8A"/>
          </a:solidFill>
          <a:ln cap="flat" cmpd="sng" w="12700">
            <a:solidFill>
              <a:srgbClr val="000000"/>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clientData fLocksWithSheet="0"/>
  </xdr:oneCellAnchor>
  <xdr:oneCellAnchor>
    <xdr:from>
      <xdr:col>9</xdr:col>
      <xdr:colOff>2428875</xdr:colOff>
      <xdr:row>31</xdr:row>
      <xdr:rowOff>0</xdr:rowOff>
    </xdr:from>
    <xdr:ext cx="295275" cy="285750"/>
    <xdr:sp>
      <xdr:nvSpPr>
        <xdr:cNvPr id="48" name="Shape 48"/>
        <xdr:cNvSpPr/>
      </xdr:nvSpPr>
      <xdr:spPr>
        <a:xfrm>
          <a:off x="5203125" y="3641888"/>
          <a:ext cx="285750" cy="276225"/>
        </a:xfrm>
        <a:prstGeom prst="ellipse">
          <a:avLst/>
        </a:prstGeom>
        <a:solidFill>
          <a:srgbClr val="C087CB"/>
        </a:solidFill>
        <a:ln cap="flat" cmpd="sng" w="12700">
          <a:solidFill>
            <a:srgbClr val="000000"/>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2428875</xdr:colOff>
      <xdr:row>32</xdr:row>
      <xdr:rowOff>0</xdr:rowOff>
    </xdr:from>
    <xdr:ext cx="295275" cy="285750"/>
    <xdr:sp>
      <xdr:nvSpPr>
        <xdr:cNvPr id="49" name="Shape 49"/>
        <xdr:cNvSpPr/>
      </xdr:nvSpPr>
      <xdr:spPr>
        <a:xfrm>
          <a:off x="5203125" y="3641888"/>
          <a:ext cx="285750" cy="276225"/>
        </a:xfrm>
        <a:prstGeom prst="ellipse">
          <a:avLst/>
        </a:prstGeom>
        <a:solidFill>
          <a:schemeClr val="accent4"/>
        </a:solidFill>
        <a:ln cap="flat" cmpd="sng" w="12700">
          <a:solidFill>
            <a:srgbClr val="000000"/>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xdr:col>
      <xdr:colOff>847725</xdr:colOff>
      <xdr:row>22</xdr:row>
      <xdr:rowOff>0</xdr:rowOff>
    </xdr:from>
    <xdr:ext cx="3448050" cy="676275"/>
    <xdr:sp>
      <xdr:nvSpPr>
        <xdr:cNvPr id="50" name="Shape 50"/>
        <xdr:cNvSpPr txBox="1"/>
      </xdr:nvSpPr>
      <xdr:spPr>
        <a:xfrm>
          <a:off x="3626738" y="3446625"/>
          <a:ext cx="3438525" cy="6667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COMPROMISO     :      </a:t>
          </a:r>
          <a:r>
            <a:rPr b="1" lang="en-US" sz="1400">
              <a:solidFill>
                <a:schemeClr val="accent5"/>
              </a:solidFill>
              <a:latin typeface="Arial"/>
              <a:ea typeface="Arial"/>
              <a:cs typeface="Arial"/>
              <a:sym typeface="Arial"/>
            </a:rPr>
            <a:t>X</a:t>
          </a:r>
          <a:r>
            <a:rPr lang="en-US" sz="1100">
              <a:solidFill>
                <a:schemeClr val="dk1"/>
              </a:solidFill>
              <a:latin typeface="Arial"/>
              <a:ea typeface="Arial"/>
              <a:cs typeface="Arial"/>
              <a:sym typeface="Arial"/>
            </a:rPr>
            <a:t>: Actual       </a:t>
          </a:r>
          <a:r>
            <a:rPr b="1" lang="en-US" sz="1200">
              <a:solidFill>
                <a:schemeClr val="accent5"/>
              </a:solidFill>
              <a:latin typeface="Arial"/>
              <a:ea typeface="Arial"/>
              <a:cs typeface="Arial"/>
              <a:sym typeface="Arial"/>
            </a:rPr>
            <a:t>D</a:t>
          </a:r>
          <a:r>
            <a:rPr lang="en-US" sz="1100">
              <a:solidFill>
                <a:schemeClr val="dk1"/>
              </a:solidFill>
              <a:latin typeface="Arial"/>
              <a:ea typeface="Arial"/>
              <a:cs typeface="Arial"/>
              <a:sym typeface="Arial"/>
            </a:rPr>
            <a:t>: Deseado</a:t>
          </a:r>
          <a:endParaRPr sz="1400"/>
        </a:p>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PODER/INTERÉS  :       </a:t>
          </a:r>
          <a:r>
            <a:rPr b="1" lang="en-US" sz="1400">
              <a:solidFill>
                <a:schemeClr val="accent5"/>
              </a:solidFill>
              <a:latin typeface="Arial"/>
              <a:ea typeface="Arial"/>
              <a:cs typeface="Arial"/>
              <a:sym typeface="Arial"/>
            </a:rPr>
            <a:t>A</a:t>
          </a:r>
          <a:r>
            <a:rPr lang="en-US" sz="1100">
              <a:solidFill>
                <a:schemeClr val="dk1"/>
              </a:solidFill>
              <a:latin typeface="Arial"/>
              <a:ea typeface="Arial"/>
              <a:cs typeface="Arial"/>
              <a:sym typeface="Arial"/>
            </a:rPr>
            <a:t>:Alto            </a:t>
          </a:r>
          <a:r>
            <a:rPr b="1" lang="en-US" sz="1400">
              <a:solidFill>
                <a:schemeClr val="accent5"/>
              </a:solidFill>
              <a:latin typeface="Arial"/>
              <a:ea typeface="Arial"/>
              <a:cs typeface="Arial"/>
              <a:sym typeface="Arial"/>
            </a:rPr>
            <a:t>B</a:t>
          </a:r>
          <a:r>
            <a:rPr lang="en-US" sz="1100">
              <a:solidFill>
                <a:schemeClr val="dk1"/>
              </a:solidFill>
              <a:latin typeface="Arial"/>
              <a:ea typeface="Arial"/>
              <a:cs typeface="Arial"/>
              <a:sym typeface="Arial"/>
            </a:rPr>
            <a:t>:Bajo</a:t>
          </a:r>
          <a:endParaRPr sz="1100"/>
        </a:p>
      </xdr:txBody>
    </xdr:sp>
    <xdr:clientData fLocksWithSheet="0"/>
  </xdr:oneCellAnchor>
  <xdr:oneCellAnchor>
    <xdr:from>
      <xdr:col>9</xdr:col>
      <xdr:colOff>2333625</xdr:colOff>
      <xdr:row>29</xdr:row>
      <xdr:rowOff>38100</xdr:rowOff>
    </xdr:from>
    <xdr:ext cx="2047875" cy="1114425"/>
    <xdr:sp>
      <xdr:nvSpPr>
        <xdr:cNvPr id="51" name="Shape 51"/>
        <xdr:cNvSpPr/>
      </xdr:nvSpPr>
      <xdr:spPr>
        <a:xfrm>
          <a:off x="4780400" y="1608300"/>
          <a:ext cx="2095500" cy="4343400"/>
        </a:xfrm>
        <a:prstGeom prst="rect">
          <a:avLst/>
        </a:prstGeom>
        <a:noFill/>
        <a:ln cap="flat" cmpd="sng" w="12700">
          <a:solidFill>
            <a:schemeClr val="accent6"/>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0</xdr:col>
      <xdr:colOff>0</xdr:colOff>
      <xdr:row>0</xdr:row>
      <xdr:rowOff>0</xdr:rowOff>
    </xdr:from>
    <xdr:ext cx="9182100" cy="923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48</xdr:row>
      <xdr:rowOff>180975</xdr:rowOff>
    </xdr:from>
    <xdr:ext cx="11068050" cy="11715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163050" cy="962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75</xdr:row>
      <xdr:rowOff>123825</xdr:rowOff>
    </xdr:from>
    <xdr:ext cx="11382375" cy="1171575"/>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944225" cy="5810250"/>
    <xdr:sp>
      <xdr:nvSpPr>
        <xdr:cNvPr id="3" name="Shape 3"/>
        <xdr:cNvSpPr/>
      </xdr:nvSpPr>
      <xdr:spPr>
        <a:xfrm>
          <a:off x="0" y="879638"/>
          <a:ext cx="10692000" cy="5800725"/>
        </a:xfrm>
        <a:prstGeom prst="rect">
          <a:avLst/>
        </a:prstGeom>
        <a:noFill/>
        <a:ln cap="flat" cmpd="sng" w="12700">
          <a:solidFill>
            <a:srgbClr val="BFBFBF"/>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11</xdr:col>
      <xdr:colOff>295275</xdr:colOff>
      <xdr:row>0</xdr:row>
      <xdr:rowOff>0</xdr:rowOff>
    </xdr:from>
    <xdr:ext cx="1647825" cy="5524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8515350" cy="7524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23</xdr:row>
      <xdr:rowOff>114300</xdr:rowOff>
    </xdr:from>
    <xdr:ext cx="10868025" cy="10001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447675</xdr:colOff>
      <xdr:row>0</xdr:row>
      <xdr:rowOff>114300</xdr:rowOff>
    </xdr:from>
    <xdr:ext cx="876300" cy="866775"/>
    <xdr:pic>
      <xdr:nvPicPr>
        <xdr:cNvPr descr="Burbujas Página De Inicio - Imagen gratis en Pixabay"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ikeapi.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sheetViews>
  <sheetFormatPr customHeight="1" defaultColWidth="12.63" defaultRowHeight="15.0"/>
  <cols>
    <col customWidth="1" min="1" max="1" width="8.63"/>
    <col customWidth="1" min="2" max="2" width="21.38"/>
    <col customWidth="1" min="3" max="3" width="19.0"/>
    <col customWidth="1" min="4" max="4" width="21.63"/>
    <col customWidth="1" min="5" max="6" width="19.0"/>
    <col customWidth="1" min="7" max="7" width="23.13"/>
    <col customWidth="1" min="8" max="8" width="6.0"/>
    <col customWidth="1" min="9" max="9" width="11.63"/>
    <col customWidth="1" min="10" max="26" width="9.38"/>
  </cols>
  <sheetData>
    <row r="7" ht="15.75" customHeight="1">
      <c r="B7" s="1" t="s">
        <v>0</v>
      </c>
      <c r="C7" s="2"/>
      <c r="D7" s="2"/>
      <c r="E7" s="2"/>
      <c r="F7" s="2"/>
      <c r="G7" s="4"/>
    </row>
    <row r="8">
      <c r="B8" s="5" t="s">
        <v>1</v>
      </c>
      <c r="C8" s="6" t="s">
        <v>2</v>
      </c>
      <c r="D8" s="7"/>
      <c r="E8" s="5" t="s">
        <v>3</v>
      </c>
      <c r="F8" s="5" t="s">
        <v>4</v>
      </c>
      <c r="G8" s="5" t="s">
        <v>5</v>
      </c>
    </row>
    <row r="9">
      <c r="B9" s="11" t="s">
        <v>7</v>
      </c>
      <c r="C9" s="14" t="s">
        <v>9</v>
      </c>
      <c r="D9" s="15"/>
      <c r="E9" s="11" t="s">
        <v>11</v>
      </c>
      <c r="F9" s="11" t="s">
        <v>11</v>
      </c>
      <c r="G9" s="17">
        <v>46271.0</v>
      </c>
    </row>
    <row r="10">
      <c r="B10" s="11" t="s">
        <v>6</v>
      </c>
      <c r="C10" s="14" t="s">
        <v>10</v>
      </c>
      <c r="D10" s="15"/>
      <c r="E10" s="11" t="s">
        <v>10</v>
      </c>
      <c r="F10" s="11" t="s">
        <v>10</v>
      </c>
      <c r="G10" s="17">
        <v>46272.0</v>
      </c>
    </row>
    <row r="11">
      <c r="B11" s="11" t="s">
        <v>15</v>
      </c>
      <c r="C11" s="14" t="s">
        <v>10</v>
      </c>
      <c r="D11" s="15"/>
      <c r="E11" s="11" t="s">
        <v>10</v>
      </c>
      <c r="F11" s="11" t="s">
        <v>10</v>
      </c>
      <c r="G11" s="17">
        <v>46278.0</v>
      </c>
    </row>
    <row r="12">
      <c r="B12" s="24"/>
      <c r="C12" s="26"/>
      <c r="D12" s="26"/>
      <c r="E12" s="26"/>
      <c r="F12" s="26"/>
      <c r="G12" s="28"/>
    </row>
    <row r="13">
      <c r="B13" s="30" t="s">
        <v>23</v>
      </c>
      <c r="G13" s="35"/>
    </row>
    <row r="14">
      <c r="B14" s="36"/>
      <c r="G14" s="35"/>
    </row>
    <row r="15">
      <c r="B15" s="38"/>
      <c r="C15" s="39"/>
      <c r="D15" s="39"/>
      <c r="E15" s="39"/>
      <c r="F15" s="39"/>
      <c r="G15" s="42"/>
    </row>
    <row r="16" ht="26.25" customHeight="1">
      <c r="B16" s="43" t="s">
        <v>13</v>
      </c>
      <c r="C16" s="45" t="s">
        <v>14</v>
      </c>
      <c r="D16" s="46"/>
      <c r="E16" s="47"/>
      <c r="F16" s="45" t="s">
        <v>16</v>
      </c>
      <c r="G16" s="47"/>
    </row>
    <row r="17" ht="30.0" customHeight="1">
      <c r="B17" s="21" t="s">
        <v>17</v>
      </c>
      <c r="C17" s="23" t="s">
        <v>18</v>
      </c>
      <c r="D17" s="10"/>
      <c r="E17" s="7"/>
      <c r="F17" s="23" t="s">
        <v>20</v>
      </c>
      <c r="G17" s="7"/>
    </row>
    <row r="18" ht="30.0" customHeight="1">
      <c r="B18" s="52" t="s">
        <v>34</v>
      </c>
      <c r="C18" s="46"/>
      <c r="D18" s="46"/>
      <c r="E18" s="46"/>
      <c r="F18" s="46"/>
      <c r="G18" s="47"/>
    </row>
    <row r="19" ht="30.0" customHeight="1">
      <c r="B19" s="62" t="s">
        <v>36</v>
      </c>
      <c r="C19" s="64"/>
      <c r="D19" s="64"/>
      <c r="E19" s="64"/>
      <c r="F19" s="64"/>
      <c r="G19" s="66"/>
    </row>
    <row r="20" ht="62.25" customHeight="1">
      <c r="B20" s="36"/>
      <c r="G20" s="35"/>
    </row>
    <row r="21" ht="15.0" customHeight="1">
      <c r="B21" s="36"/>
      <c r="G21" s="35"/>
    </row>
    <row r="22" ht="15.75" customHeight="1">
      <c r="B22" s="71"/>
      <c r="C22" s="72"/>
      <c r="D22" s="72"/>
      <c r="E22" s="72"/>
      <c r="F22" s="72"/>
      <c r="G22" s="73"/>
    </row>
    <row r="23" ht="15.75" customHeight="1">
      <c r="B23" s="52" t="s">
        <v>46</v>
      </c>
      <c r="C23" s="46"/>
      <c r="D23" s="46"/>
      <c r="E23" s="46"/>
      <c r="F23" s="46"/>
      <c r="G23" s="47"/>
    </row>
    <row r="24" ht="15.0" customHeight="1">
      <c r="B24" s="78"/>
      <c r="C24" s="79"/>
      <c r="D24" s="79"/>
      <c r="E24" s="79"/>
      <c r="F24" s="79"/>
      <c r="G24" s="15"/>
    </row>
    <row r="25" ht="66.0" customHeight="1">
      <c r="B25" s="83" t="s">
        <v>52</v>
      </c>
      <c r="G25" s="84"/>
    </row>
    <row r="26" ht="76.5" customHeight="1">
      <c r="B26" s="85"/>
      <c r="G26" s="84"/>
    </row>
    <row r="27" ht="15.75" customHeight="1">
      <c r="B27" s="87"/>
      <c r="C27" s="89"/>
      <c r="D27" s="89"/>
      <c r="E27" s="89"/>
      <c r="F27" s="89"/>
      <c r="G27" s="90"/>
    </row>
    <row r="28" ht="15.75" customHeight="1">
      <c r="B28" s="95" t="s">
        <v>59</v>
      </c>
      <c r="C28" s="10"/>
      <c r="D28" s="10"/>
      <c r="E28" s="10"/>
      <c r="F28" s="10"/>
      <c r="G28" s="7"/>
    </row>
    <row r="29" ht="15.75" customHeight="1">
      <c r="B29" s="97" t="s">
        <v>64</v>
      </c>
      <c r="C29" s="100" t="s">
        <v>66</v>
      </c>
      <c r="D29" s="2"/>
      <c r="E29" s="4"/>
      <c r="F29" s="100" t="s">
        <v>68</v>
      </c>
      <c r="G29" s="4"/>
    </row>
    <row r="30">
      <c r="B30" s="105" t="s">
        <v>70</v>
      </c>
      <c r="C30" s="106" t="s">
        <v>74</v>
      </c>
      <c r="D30" s="107"/>
      <c r="E30" s="103"/>
      <c r="F30" s="106" t="s">
        <v>76</v>
      </c>
      <c r="G30" s="103"/>
    </row>
    <row r="31">
      <c r="B31" s="105" t="s">
        <v>80</v>
      </c>
      <c r="C31" s="106" t="s">
        <v>82</v>
      </c>
      <c r="D31" s="107"/>
      <c r="E31" s="103"/>
      <c r="F31" s="106" t="s">
        <v>85</v>
      </c>
      <c r="G31" s="103"/>
    </row>
    <row r="32">
      <c r="B32" s="105" t="s">
        <v>89</v>
      </c>
      <c r="C32" s="106" t="s">
        <v>91</v>
      </c>
      <c r="D32" s="107"/>
      <c r="E32" s="103"/>
      <c r="F32" s="106" t="s">
        <v>94</v>
      </c>
      <c r="G32" s="103"/>
    </row>
    <row r="33">
      <c r="B33" s="105" t="s">
        <v>97</v>
      </c>
      <c r="C33" s="106" t="s">
        <v>98</v>
      </c>
      <c r="D33" s="107"/>
      <c r="E33" s="103"/>
      <c r="F33" s="106" t="s">
        <v>100</v>
      </c>
      <c r="G33" s="103"/>
    </row>
    <row r="34" ht="30.0" customHeight="1">
      <c r="B34" s="118" t="s">
        <v>103</v>
      </c>
      <c r="C34" s="120" t="s">
        <v>105</v>
      </c>
      <c r="D34" s="64"/>
      <c r="E34" s="66"/>
      <c r="F34" s="120" t="s">
        <v>107</v>
      </c>
      <c r="G34" s="66"/>
    </row>
    <row r="35" ht="30.75" customHeight="1">
      <c r="B35" s="61"/>
      <c r="C35" s="123"/>
      <c r="D35" s="72"/>
      <c r="E35" s="73"/>
      <c r="F35" s="123"/>
      <c r="G35" s="73"/>
    </row>
    <row r="36" ht="40.5" customHeight="1">
      <c r="B36" s="118" t="s">
        <v>109</v>
      </c>
      <c r="C36" s="120" t="s">
        <v>111</v>
      </c>
      <c r="D36" s="64"/>
      <c r="E36" s="66"/>
      <c r="F36" s="120" t="s">
        <v>113</v>
      </c>
      <c r="G36" s="66"/>
    </row>
    <row r="37" ht="42.75" customHeight="1">
      <c r="B37" s="61"/>
      <c r="C37" s="123"/>
      <c r="D37" s="72"/>
      <c r="E37" s="73"/>
      <c r="F37" s="123"/>
      <c r="G37" s="73"/>
    </row>
    <row r="38" ht="15.75" customHeight="1">
      <c r="B38" s="129" t="s">
        <v>115</v>
      </c>
      <c r="C38" s="46"/>
      <c r="D38" s="46"/>
      <c r="E38" s="46"/>
      <c r="F38" s="46"/>
      <c r="G38" s="47"/>
    </row>
    <row r="39" ht="15.75" customHeight="1">
      <c r="B39" s="133" t="s">
        <v>116</v>
      </c>
      <c r="C39" s="10"/>
      <c r="D39" s="10"/>
      <c r="E39" s="10"/>
      <c r="F39" s="10"/>
      <c r="G39" s="7"/>
    </row>
    <row r="40" ht="15.75" customHeight="1">
      <c r="A40" s="3"/>
      <c r="B40" s="133" t="s">
        <v>117</v>
      </c>
      <c r="C40" s="10"/>
      <c r="D40" s="10"/>
      <c r="E40" s="10"/>
      <c r="F40" s="10"/>
      <c r="G40" s="7"/>
      <c r="H40" s="3"/>
      <c r="I40" s="3"/>
      <c r="J40" s="3"/>
      <c r="K40" s="3"/>
      <c r="L40" s="3"/>
      <c r="M40" s="3"/>
      <c r="N40" s="3"/>
      <c r="O40" s="3"/>
      <c r="P40" s="3"/>
      <c r="Q40" s="3"/>
      <c r="R40" s="3"/>
      <c r="S40" s="3"/>
      <c r="T40" s="3"/>
      <c r="U40" s="3"/>
      <c r="V40" s="3"/>
      <c r="W40" s="3"/>
      <c r="X40" s="3"/>
      <c r="Y40" s="3"/>
      <c r="Z40" s="3"/>
    </row>
    <row r="41" ht="15.75" customHeight="1">
      <c r="A41" s="3"/>
      <c r="B41" s="133" t="s">
        <v>120</v>
      </c>
      <c r="C41" s="10"/>
      <c r="D41" s="10"/>
      <c r="E41" s="10"/>
      <c r="F41" s="10"/>
      <c r="G41" s="7"/>
      <c r="H41" s="3"/>
      <c r="I41" s="3"/>
      <c r="J41" s="3"/>
      <c r="K41" s="3"/>
      <c r="L41" s="3"/>
      <c r="M41" s="3"/>
      <c r="N41" s="3"/>
      <c r="O41" s="3"/>
      <c r="P41" s="3"/>
      <c r="Q41" s="3"/>
      <c r="R41" s="3"/>
      <c r="S41" s="3"/>
      <c r="T41" s="3"/>
      <c r="U41" s="3"/>
      <c r="V41" s="3"/>
      <c r="W41" s="3"/>
      <c r="X41" s="3"/>
      <c r="Y41" s="3"/>
      <c r="Z41" s="3"/>
    </row>
    <row r="42" ht="15.75" customHeight="1">
      <c r="A42" s="3"/>
      <c r="B42" s="138"/>
      <c r="C42" s="10"/>
      <c r="D42" s="10"/>
      <c r="E42" s="10"/>
      <c r="F42" s="10"/>
      <c r="G42" s="7"/>
      <c r="H42" s="3"/>
      <c r="I42" s="3"/>
      <c r="J42" s="3"/>
      <c r="K42" s="3"/>
      <c r="L42" s="3"/>
      <c r="M42" s="3"/>
      <c r="N42" s="3"/>
      <c r="O42" s="3"/>
      <c r="P42" s="3"/>
      <c r="Q42" s="3"/>
      <c r="R42" s="3"/>
      <c r="S42" s="3"/>
      <c r="T42" s="3"/>
      <c r="U42" s="3"/>
      <c r="V42" s="3"/>
      <c r="W42" s="3"/>
      <c r="X42" s="3"/>
      <c r="Y42" s="3"/>
      <c r="Z42" s="3"/>
    </row>
    <row r="43" ht="15.75" customHeight="1">
      <c r="B43" s="139" t="s">
        <v>129</v>
      </c>
      <c r="C43" s="2"/>
      <c r="D43" s="2"/>
      <c r="E43" s="2"/>
      <c r="F43" s="2"/>
      <c r="G43" s="4"/>
      <c r="J43" s="140" t="s">
        <v>131</v>
      </c>
    </row>
    <row r="44" ht="26.25" customHeight="1">
      <c r="B44" s="141" t="s">
        <v>133</v>
      </c>
      <c r="C44" s="107"/>
      <c r="D44" s="107"/>
      <c r="E44" s="107"/>
      <c r="F44" s="107"/>
      <c r="G44" s="103"/>
    </row>
    <row r="45" ht="30.0" customHeight="1">
      <c r="A45" s="3"/>
      <c r="B45" s="141" t="s">
        <v>134</v>
      </c>
      <c r="C45" s="107"/>
      <c r="D45" s="107"/>
      <c r="E45" s="107"/>
      <c r="F45" s="107"/>
      <c r="G45" s="103"/>
      <c r="H45" s="3"/>
      <c r="I45" s="3"/>
      <c r="M45" s="3"/>
      <c r="N45" s="3"/>
      <c r="O45" s="3"/>
      <c r="P45" s="3"/>
      <c r="Q45" s="3"/>
      <c r="R45" s="3"/>
      <c r="S45" s="3"/>
      <c r="T45" s="3"/>
      <c r="U45" s="3"/>
      <c r="V45" s="3"/>
      <c r="W45" s="3"/>
      <c r="X45" s="3"/>
      <c r="Y45" s="3"/>
      <c r="Z45" s="3"/>
    </row>
    <row r="46" ht="18.75" customHeight="1">
      <c r="A46" s="3"/>
      <c r="B46" s="144"/>
      <c r="C46" s="145"/>
      <c r="D46" s="146"/>
      <c r="E46" s="146"/>
      <c r="F46" s="146"/>
      <c r="G46" s="147"/>
      <c r="H46" s="3"/>
      <c r="I46" s="3"/>
      <c r="M46" s="3"/>
      <c r="N46" s="3"/>
      <c r="O46" s="3"/>
      <c r="P46" s="3"/>
      <c r="Q46" s="3"/>
      <c r="R46" s="3"/>
      <c r="S46" s="3"/>
      <c r="T46" s="3"/>
      <c r="U46" s="3"/>
      <c r="V46" s="3"/>
      <c r="W46" s="3"/>
      <c r="X46" s="3"/>
      <c r="Y46" s="3"/>
      <c r="Z46" s="3"/>
    </row>
    <row r="47" ht="15.75" customHeight="1">
      <c r="A47" s="3"/>
      <c r="B47" s="150"/>
      <c r="C47" s="107"/>
      <c r="D47" s="107"/>
      <c r="E47" s="107"/>
      <c r="F47" s="107"/>
      <c r="G47" s="103"/>
      <c r="H47" s="3"/>
      <c r="I47" s="3"/>
      <c r="M47" s="3"/>
      <c r="N47" s="3"/>
      <c r="O47" s="3"/>
      <c r="P47" s="3"/>
      <c r="Q47" s="3"/>
      <c r="R47" s="3"/>
      <c r="S47" s="3"/>
      <c r="T47" s="3"/>
      <c r="U47" s="3"/>
      <c r="V47" s="3"/>
      <c r="W47" s="3"/>
      <c r="X47" s="3"/>
      <c r="Y47" s="3"/>
      <c r="Z47" s="3"/>
    </row>
    <row r="48" ht="15.75" customHeight="1">
      <c r="A48" s="3"/>
      <c r="B48" s="150"/>
      <c r="C48" s="107"/>
      <c r="D48" s="107"/>
      <c r="E48" s="107"/>
      <c r="F48" s="107"/>
      <c r="G48" s="103"/>
      <c r="H48" s="3"/>
      <c r="I48" s="3"/>
      <c r="M48" s="3"/>
      <c r="N48" s="3"/>
      <c r="O48" s="3"/>
      <c r="P48" s="3"/>
      <c r="Q48" s="3"/>
      <c r="R48" s="3"/>
      <c r="S48" s="3"/>
      <c r="T48" s="3"/>
      <c r="U48" s="3"/>
      <c r="V48" s="3"/>
      <c r="W48" s="3"/>
      <c r="X48" s="3"/>
      <c r="Y48" s="3"/>
      <c r="Z48" s="3"/>
    </row>
    <row r="49" ht="15.75" customHeight="1">
      <c r="B49" s="153" t="s">
        <v>147</v>
      </c>
      <c r="C49" s="154"/>
      <c r="D49" s="154"/>
      <c r="E49" s="154"/>
      <c r="F49" s="154"/>
      <c r="G49" s="155"/>
    </row>
    <row r="50" ht="63.0" customHeight="1">
      <c r="B50" s="157"/>
      <c r="C50" s="107"/>
      <c r="D50" s="107"/>
      <c r="E50" s="107"/>
      <c r="F50" s="107"/>
      <c r="G50" s="103"/>
      <c r="I50" s="27"/>
      <c r="M50" s="160"/>
      <c r="N50" s="160"/>
      <c r="O50" s="160"/>
    </row>
    <row r="51" ht="51.0" customHeight="1">
      <c r="B51" s="162" t="s">
        <v>148</v>
      </c>
      <c r="C51" s="107"/>
      <c r="D51" s="107"/>
      <c r="E51" s="107"/>
      <c r="F51" s="107"/>
      <c r="G51" s="103"/>
      <c r="I51" s="27"/>
    </row>
    <row r="52" ht="67.5" customHeight="1">
      <c r="B52" s="162" t="s">
        <v>150</v>
      </c>
      <c r="C52" s="107"/>
      <c r="D52" s="107"/>
      <c r="E52" s="107"/>
      <c r="F52" s="107"/>
      <c r="G52" s="103"/>
      <c r="I52" s="27"/>
    </row>
    <row r="53" ht="59.25" customHeight="1">
      <c r="B53" s="163" t="s">
        <v>151</v>
      </c>
      <c r="C53" s="107"/>
      <c r="D53" s="107"/>
      <c r="E53" s="107"/>
      <c r="F53" s="107"/>
      <c r="G53" s="103"/>
      <c r="I53" s="27"/>
    </row>
    <row r="54" ht="15.75" customHeight="1">
      <c r="B54" s="129" t="s">
        <v>152</v>
      </c>
      <c r="C54" s="46"/>
      <c r="D54" s="46"/>
      <c r="E54" s="46"/>
      <c r="F54" s="46"/>
      <c r="G54" s="47"/>
    </row>
    <row r="55" ht="15.75" customHeight="1">
      <c r="B55" s="164" t="s">
        <v>153</v>
      </c>
      <c r="C55" s="7"/>
      <c r="D55" s="164" t="s">
        <v>154</v>
      </c>
      <c r="E55" s="10"/>
      <c r="F55" s="7"/>
      <c r="G55" s="165" t="s">
        <v>155</v>
      </c>
    </row>
    <row r="56" ht="16.5" customHeight="1">
      <c r="B56" s="166" t="s">
        <v>58</v>
      </c>
      <c r="C56" s="7"/>
      <c r="D56" s="166" t="s">
        <v>156</v>
      </c>
      <c r="E56" s="10"/>
      <c r="F56" s="7"/>
      <c r="G56" s="167"/>
    </row>
    <row r="57" ht="15.75" customHeight="1">
      <c r="B57" s="166" t="s">
        <v>102</v>
      </c>
      <c r="C57" s="7"/>
      <c r="D57" s="166" t="s">
        <v>157</v>
      </c>
      <c r="E57" s="10"/>
      <c r="F57" s="7"/>
      <c r="G57" s="167"/>
    </row>
    <row r="58" ht="15.75" customHeight="1">
      <c r="B58" s="168" t="s">
        <v>158</v>
      </c>
      <c r="C58" s="10"/>
      <c r="D58" s="10"/>
      <c r="E58" s="10"/>
      <c r="F58" s="10"/>
      <c r="G58" s="7"/>
    </row>
    <row r="59" ht="15.75" customHeight="1">
      <c r="B59" s="164" t="s">
        <v>153</v>
      </c>
      <c r="C59" s="7"/>
      <c r="D59" s="164" t="s">
        <v>159</v>
      </c>
      <c r="E59" s="10"/>
      <c r="F59" s="10"/>
      <c r="G59" s="7"/>
    </row>
    <row r="60" ht="15.75" customHeight="1">
      <c r="B60" s="169" t="s">
        <v>9</v>
      </c>
      <c r="C60" s="66"/>
      <c r="D60" s="170" t="s">
        <v>160</v>
      </c>
      <c r="E60" s="79"/>
      <c r="F60" s="79"/>
      <c r="G60" s="15"/>
    </row>
    <row r="61" ht="13.5" customHeight="1">
      <c r="B61" s="123"/>
      <c r="C61" s="73"/>
      <c r="D61" s="89"/>
      <c r="E61" s="89"/>
      <c r="F61" s="89"/>
      <c r="G61" s="90"/>
    </row>
    <row r="62" ht="15.75" customHeight="1">
      <c r="B62" s="139" t="s">
        <v>161</v>
      </c>
      <c r="C62" s="2"/>
      <c r="D62" s="2"/>
      <c r="E62" s="2"/>
      <c r="F62" s="2"/>
      <c r="G62" s="4"/>
    </row>
    <row r="63" ht="15.75" customHeight="1">
      <c r="B63" s="171" t="s">
        <v>153</v>
      </c>
      <c r="C63" s="171" t="s">
        <v>162</v>
      </c>
      <c r="D63" s="171" t="s">
        <v>163</v>
      </c>
      <c r="E63" s="172" t="s">
        <v>155</v>
      </c>
      <c r="F63" s="10"/>
      <c r="G63" s="7"/>
      <c r="I63" s="172" t="s">
        <v>164</v>
      </c>
      <c r="J63" s="10"/>
      <c r="K63" s="7"/>
    </row>
    <row r="64" ht="15.75" customHeight="1">
      <c r="B64" s="173" t="s">
        <v>9</v>
      </c>
      <c r="C64" s="173" t="s">
        <v>165</v>
      </c>
      <c r="D64" s="173" t="s">
        <v>166</v>
      </c>
      <c r="E64" s="174" t="s">
        <v>160</v>
      </c>
      <c r="F64" s="10"/>
      <c r="G64" s="7"/>
      <c r="I64" s="3" t="s">
        <v>167</v>
      </c>
      <c r="L64" s="3" t="s">
        <v>168</v>
      </c>
    </row>
    <row r="65" ht="15.75" customHeight="1">
      <c r="B65" s="173" t="s">
        <v>11</v>
      </c>
      <c r="C65" s="173" t="s">
        <v>169</v>
      </c>
      <c r="D65" s="173" t="s">
        <v>170</v>
      </c>
      <c r="E65" s="174" t="s">
        <v>171</v>
      </c>
      <c r="F65" s="10"/>
      <c r="G65" s="7"/>
      <c r="I65" s="3" t="s">
        <v>172</v>
      </c>
      <c r="L65" s="3" t="s">
        <v>173</v>
      </c>
    </row>
    <row r="66" ht="15.75" customHeight="1">
      <c r="B66" s="175"/>
      <c r="C66" s="175"/>
      <c r="D66" s="175"/>
      <c r="E66" s="176"/>
      <c r="F66" s="10"/>
      <c r="G66" s="7"/>
      <c r="I66" s="3" t="s">
        <v>174</v>
      </c>
      <c r="L66" s="3" t="s">
        <v>175</v>
      </c>
    </row>
    <row r="67" ht="15.75" customHeight="1">
      <c r="B67" s="175"/>
      <c r="C67" s="175"/>
      <c r="D67" s="175"/>
      <c r="E67" s="176"/>
      <c r="F67" s="10"/>
      <c r="G67" s="7"/>
      <c r="I67" s="3" t="s">
        <v>172</v>
      </c>
      <c r="L67" s="3" t="s">
        <v>176</v>
      </c>
    </row>
    <row r="68" ht="15.75" customHeight="1">
      <c r="B68" s="175"/>
      <c r="C68" s="175"/>
      <c r="D68" s="175"/>
      <c r="E68" s="176"/>
      <c r="F68" s="10"/>
      <c r="G68" s="7"/>
    </row>
    <row r="69" ht="15.75" customHeight="1">
      <c r="B69" s="129" t="s">
        <v>177</v>
      </c>
      <c r="C69" s="46"/>
      <c r="D69" s="46"/>
      <c r="E69" s="46"/>
      <c r="F69" s="46"/>
      <c r="G69" s="47"/>
    </row>
    <row r="70" ht="15.75" customHeight="1">
      <c r="B70" s="177" t="s">
        <v>178</v>
      </c>
      <c r="C70" s="10"/>
      <c r="D70" s="10"/>
      <c r="E70" s="10"/>
      <c r="F70" s="10"/>
      <c r="G70" s="7"/>
    </row>
    <row r="71" ht="15.75" customHeight="1">
      <c r="B71" s="168" t="s">
        <v>179</v>
      </c>
      <c r="C71" s="10"/>
      <c r="D71" s="10"/>
      <c r="E71" s="10"/>
      <c r="F71" s="10"/>
      <c r="G71" s="7"/>
    </row>
    <row r="72" ht="33.0" customHeight="1">
      <c r="B72" s="178" t="s">
        <v>180</v>
      </c>
      <c r="C72" s="7"/>
      <c r="D72" s="178" t="s">
        <v>181</v>
      </c>
      <c r="E72" s="10"/>
      <c r="F72" s="7"/>
      <c r="G72" s="179" t="s">
        <v>182</v>
      </c>
    </row>
    <row r="73" ht="33.0" customHeight="1">
      <c r="A73" s="180"/>
      <c r="B73" s="177" t="s">
        <v>183</v>
      </c>
      <c r="C73" s="7"/>
      <c r="D73" s="177" t="s">
        <v>184</v>
      </c>
      <c r="E73" s="10"/>
      <c r="F73" s="7"/>
      <c r="G73" s="181">
        <v>46275.0</v>
      </c>
      <c r="H73" s="180"/>
      <c r="I73" s="180"/>
      <c r="J73" s="180"/>
      <c r="K73" s="180"/>
      <c r="L73" s="180"/>
      <c r="M73" s="180"/>
      <c r="N73" s="180"/>
      <c r="O73" s="180"/>
      <c r="P73" s="180"/>
      <c r="Q73" s="180"/>
      <c r="R73" s="180"/>
      <c r="S73" s="180"/>
      <c r="T73" s="180"/>
      <c r="U73" s="180"/>
      <c r="V73" s="180"/>
      <c r="W73" s="180"/>
      <c r="X73" s="180"/>
      <c r="Y73" s="180"/>
      <c r="Z73" s="180"/>
    </row>
    <row r="74" ht="32.25" customHeight="1">
      <c r="A74" s="180"/>
      <c r="B74" s="182" t="s">
        <v>185</v>
      </c>
      <c r="C74" s="15"/>
      <c r="D74" s="182" t="s">
        <v>186</v>
      </c>
      <c r="E74" s="79"/>
      <c r="F74" s="15"/>
      <c r="G74" s="181">
        <v>46275.0</v>
      </c>
      <c r="H74" s="180"/>
      <c r="I74" s="180"/>
      <c r="J74" s="180"/>
      <c r="K74" s="180"/>
      <c r="L74" s="180"/>
      <c r="M74" s="180"/>
      <c r="N74" s="180"/>
      <c r="O74" s="180"/>
      <c r="P74" s="180"/>
      <c r="Q74" s="180"/>
      <c r="R74" s="180"/>
      <c r="S74" s="180"/>
      <c r="T74" s="180"/>
      <c r="U74" s="180"/>
      <c r="V74" s="180"/>
      <c r="W74" s="180"/>
      <c r="X74" s="180"/>
      <c r="Y74" s="180"/>
      <c r="Z74" s="180"/>
    </row>
    <row r="75" ht="29.25" customHeight="1">
      <c r="A75" s="180"/>
      <c r="B75" s="182" t="s">
        <v>187</v>
      </c>
      <c r="C75" s="15"/>
      <c r="D75" s="182" t="s">
        <v>73</v>
      </c>
      <c r="E75" s="79"/>
      <c r="F75" s="15"/>
      <c r="G75" s="183">
        <v>46289.0</v>
      </c>
      <c r="H75" s="180"/>
      <c r="I75" s="180"/>
      <c r="J75" s="180"/>
      <c r="K75" s="180"/>
      <c r="L75" s="180"/>
      <c r="M75" s="180"/>
      <c r="N75" s="180"/>
      <c r="O75" s="180"/>
      <c r="P75" s="180"/>
      <c r="Q75" s="180"/>
      <c r="R75" s="180"/>
      <c r="S75" s="180"/>
      <c r="T75" s="180"/>
      <c r="U75" s="180"/>
      <c r="V75" s="180"/>
      <c r="W75" s="180"/>
      <c r="X75" s="180"/>
      <c r="Y75" s="180"/>
      <c r="Z75" s="180"/>
    </row>
    <row r="76" ht="29.25" customHeight="1">
      <c r="A76" s="180"/>
      <c r="B76" s="182" t="s">
        <v>188</v>
      </c>
      <c r="C76" s="15"/>
      <c r="D76" s="182" t="s">
        <v>189</v>
      </c>
      <c r="E76" s="79"/>
      <c r="F76" s="15"/>
      <c r="G76" s="184">
        <v>46303.0</v>
      </c>
      <c r="H76" s="180"/>
      <c r="I76" s="180"/>
      <c r="J76" s="180"/>
      <c r="K76" s="180"/>
      <c r="L76" s="180"/>
      <c r="M76" s="180"/>
      <c r="N76" s="180"/>
      <c r="O76" s="180"/>
      <c r="P76" s="180"/>
      <c r="Q76" s="180"/>
      <c r="R76" s="180"/>
      <c r="S76" s="180"/>
      <c r="T76" s="180"/>
      <c r="U76" s="180"/>
      <c r="V76" s="180"/>
      <c r="W76" s="180"/>
      <c r="X76" s="180"/>
      <c r="Y76" s="180"/>
      <c r="Z76" s="180"/>
    </row>
    <row r="77" ht="24.0" customHeight="1">
      <c r="A77" s="180"/>
      <c r="B77" s="185" t="s">
        <v>190</v>
      </c>
      <c r="C77" s="103"/>
      <c r="D77" s="186" t="s">
        <v>191</v>
      </c>
      <c r="E77" s="107"/>
      <c r="F77" s="103"/>
      <c r="G77" s="184">
        <v>46317.0</v>
      </c>
      <c r="H77" s="180"/>
      <c r="I77" s="180"/>
      <c r="J77" s="180"/>
      <c r="K77" s="180"/>
      <c r="L77" s="180"/>
      <c r="M77" s="180"/>
      <c r="N77" s="180"/>
      <c r="O77" s="180"/>
      <c r="P77" s="180"/>
      <c r="Q77" s="180"/>
      <c r="R77" s="180"/>
      <c r="S77" s="180"/>
      <c r="T77" s="180"/>
      <c r="U77" s="180"/>
      <c r="V77" s="180"/>
      <c r="W77" s="180"/>
      <c r="X77" s="180"/>
      <c r="Y77" s="180"/>
      <c r="Z77" s="180"/>
    </row>
    <row r="78" ht="15.75" customHeight="1">
      <c r="A78" s="180"/>
      <c r="B78" s="185" t="s">
        <v>192</v>
      </c>
      <c r="C78" s="103"/>
      <c r="D78" s="186" t="s">
        <v>193</v>
      </c>
      <c r="E78" s="107"/>
      <c r="F78" s="103"/>
      <c r="G78" s="184">
        <v>46331.0</v>
      </c>
      <c r="H78" s="180"/>
      <c r="I78" s="180"/>
      <c r="J78" s="180"/>
      <c r="K78" s="180"/>
      <c r="L78" s="180"/>
      <c r="M78" s="180"/>
      <c r="N78" s="180"/>
      <c r="O78" s="180"/>
      <c r="P78" s="180"/>
      <c r="Q78" s="180"/>
      <c r="R78" s="180"/>
      <c r="S78" s="180"/>
      <c r="T78" s="180"/>
      <c r="U78" s="180"/>
      <c r="V78" s="180"/>
      <c r="W78" s="180"/>
      <c r="X78" s="180"/>
      <c r="Y78" s="180"/>
      <c r="Z78" s="180"/>
    </row>
    <row r="79" ht="15.75" customHeight="1">
      <c r="A79" s="180"/>
      <c r="B79" s="185" t="s">
        <v>194</v>
      </c>
      <c r="C79" s="103"/>
      <c r="D79" s="186" t="s">
        <v>195</v>
      </c>
      <c r="E79" s="107"/>
      <c r="F79" s="103"/>
      <c r="G79" s="184">
        <v>46352.0</v>
      </c>
      <c r="H79" s="180"/>
      <c r="I79" s="180"/>
      <c r="J79" s="180"/>
      <c r="K79" s="180"/>
      <c r="L79" s="180"/>
      <c r="M79" s="180"/>
      <c r="N79" s="180"/>
      <c r="O79" s="180"/>
      <c r="P79" s="180"/>
      <c r="Q79" s="180"/>
      <c r="R79" s="180"/>
      <c r="S79" s="180"/>
      <c r="T79" s="180"/>
      <c r="U79" s="180"/>
      <c r="V79" s="180"/>
      <c r="W79" s="180"/>
      <c r="X79" s="180"/>
      <c r="Y79" s="180"/>
      <c r="Z79" s="180"/>
    </row>
    <row r="80" ht="25.5" customHeight="1">
      <c r="A80" s="180"/>
      <c r="B80" s="186" t="s">
        <v>196</v>
      </c>
      <c r="C80" s="103"/>
      <c r="D80" s="187" t="s">
        <v>197</v>
      </c>
      <c r="E80" s="107"/>
      <c r="F80" s="103"/>
      <c r="G80" s="184">
        <v>46359.0</v>
      </c>
      <c r="H80" s="180"/>
      <c r="I80" s="180"/>
      <c r="J80" s="180"/>
      <c r="K80" s="180"/>
      <c r="L80" s="180"/>
      <c r="M80" s="180"/>
      <c r="N80" s="180"/>
      <c r="O80" s="180"/>
      <c r="P80" s="180"/>
      <c r="Q80" s="180"/>
      <c r="R80" s="180"/>
      <c r="S80" s="180"/>
      <c r="T80" s="180"/>
      <c r="U80" s="180"/>
      <c r="V80" s="180"/>
      <c r="W80" s="180"/>
      <c r="X80" s="180"/>
      <c r="Y80" s="180"/>
      <c r="Z80" s="180"/>
    </row>
    <row r="81" ht="15.75" customHeight="1">
      <c r="B81" s="129" t="s">
        <v>198</v>
      </c>
      <c r="C81" s="46"/>
      <c r="D81" s="46"/>
      <c r="E81" s="46"/>
      <c r="F81" s="46"/>
      <c r="G81" s="47"/>
    </row>
    <row r="82" ht="15.75" customHeight="1">
      <c r="B82" s="188" t="s">
        <v>64</v>
      </c>
      <c r="C82" s="2"/>
      <c r="D82" s="4"/>
      <c r="E82" s="164" t="s">
        <v>199</v>
      </c>
      <c r="F82" s="10"/>
      <c r="G82" s="7"/>
    </row>
    <row r="83" ht="22.5" customHeight="1">
      <c r="B83" s="189" t="s">
        <v>200</v>
      </c>
      <c r="C83" s="107"/>
      <c r="D83" s="103"/>
      <c r="E83" s="190" t="s">
        <v>201</v>
      </c>
      <c r="F83" s="10"/>
      <c r="G83" s="7"/>
    </row>
    <row r="84" ht="15.75" customHeight="1">
      <c r="A84" s="3"/>
      <c r="B84" s="191" t="s">
        <v>202</v>
      </c>
      <c r="C84" s="107"/>
      <c r="D84" s="103"/>
      <c r="E84" s="190" t="s">
        <v>201</v>
      </c>
      <c r="F84" s="10"/>
      <c r="G84" s="7"/>
      <c r="H84" s="3"/>
      <c r="I84" s="3"/>
      <c r="J84" s="3"/>
      <c r="K84" s="3"/>
      <c r="L84" s="3"/>
      <c r="M84" s="3"/>
      <c r="N84" s="3"/>
      <c r="O84" s="3"/>
      <c r="P84" s="3"/>
      <c r="Q84" s="3"/>
      <c r="R84" s="3"/>
      <c r="S84" s="3"/>
      <c r="T84" s="3"/>
      <c r="U84" s="3"/>
      <c r="V84" s="3"/>
      <c r="W84" s="3"/>
      <c r="X84" s="3"/>
      <c r="Y84" s="3"/>
      <c r="Z84" s="3"/>
    </row>
    <row r="85" ht="15.75" customHeight="1">
      <c r="B85" s="191" t="s">
        <v>203</v>
      </c>
      <c r="C85" s="107"/>
      <c r="D85" s="103"/>
      <c r="E85" s="190" t="s">
        <v>201</v>
      </c>
      <c r="F85" s="10"/>
      <c r="G85" s="7"/>
    </row>
    <row r="86" ht="15.75" customHeight="1">
      <c r="B86" s="192"/>
      <c r="C86" s="107"/>
      <c r="D86" s="103"/>
      <c r="E86" s="193"/>
      <c r="F86" s="10"/>
      <c r="G86" s="7"/>
    </row>
    <row r="87" ht="15.75" customHeight="1">
      <c r="B87" s="194"/>
      <c r="C87" s="107"/>
      <c r="D87" s="103"/>
      <c r="E87" s="195"/>
      <c r="F87" s="10"/>
      <c r="G87" s="7"/>
    </row>
    <row r="88" ht="32.25" customHeight="1">
      <c r="B88" s="196"/>
      <c r="C88" s="46"/>
      <c r="D88" s="47"/>
      <c r="E88" s="197"/>
      <c r="F88" s="10"/>
      <c r="G88" s="7"/>
    </row>
    <row r="89" ht="15.75" customHeight="1">
      <c r="B89" s="168" t="s">
        <v>204</v>
      </c>
      <c r="C89" s="10"/>
      <c r="D89" s="10"/>
      <c r="E89" s="10"/>
      <c r="F89" s="10"/>
      <c r="G89" s="7"/>
      <c r="J89" s="198"/>
    </row>
    <row r="90" ht="15.75" customHeight="1">
      <c r="B90" s="199" t="s">
        <v>58</v>
      </c>
      <c r="C90" s="107"/>
      <c r="D90" s="107"/>
      <c r="E90" s="107"/>
      <c r="F90" s="107"/>
      <c r="G90" s="103"/>
    </row>
    <row r="91" ht="15.75" customHeight="1">
      <c r="B91" s="199" t="s">
        <v>102</v>
      </c>
      <c r="C91" s="107"/>
      <c r="D91" s="107"/>
      <c r="E91" s="107"/>
      <c r="F91" s="107"/>
      <c r="G91" s="103"/>
    </row>
    <row r="92" ht="15.75" customHeight="1">
      <c r="B92" s="200" t="s">
        <v>156</v>
      </c>
      <c r="C92" s="201"/>
      <c r="D92" s="201"/>
      <c r="E92" s="201"/>
      <c r="F92" s="201"/>
      <c r="G92" s="202"/>
    </row>
    <row r="93" ht="15.75" customHeight="1">
      <c r="B93" s="200" t="s">
        <v>205</v>
      </c>
      <c r="C93" s="201"/>
      <c r="D93" s="201"/>
      <c r="E93" s="201"/>
      <c r="F93" s="201"/>
      <c r="G93" s="202"/>
    </row>
    <row r="94" ht="15.75" customHeight="1">
      <c r="B94" s="203"/>
      <c r="C94" s="201"/>
      <c r="D94" s="201"/>
      <c r="E94" s="201"/>
      <c r="F94" s="201"/>
      <c r="G94" s="202"/>
    </row>
    <row r="95" ht="15.75" customHeight="1">
      <c r="B95" s="203"/>
      <c r="C95" s="201"/>
      <c r="D95" s="201"/>
      <c r="E95" s="201"/>
      <c r="F95" s="201"/>
      <c r="G95" s="202"/>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4">
    <mergeCell ref="B7:G7"/>
    <mergeCell ref="C8:D8"/>
    <mergeCell ref="C9:D9"/>
    <mergeCell ref="C11:D11"/>
    <mergeCell ref="B13:G14"/>
    <mergeCell ref="C16:E16"/>
    <mergeCell ref="F16:G16"/>
    <mergeCell ref="C10:D10"/>
    <mergeCell ref="C17:E17"/>
    <mergeCell ref="F17:G17"/>
    <mergeCell ref="B18:G18"/>
    <mergeCell ref="B19:G21"/>
    <mergeCell ref="B22:G22"/>
    <mergeCell ref="B23:G23"/>
    <mergeCell ref="B24:G24"/>
    <mergeCell ref="B25:G26"/>
    <mergeCell ref="B27:G27"/>
    <mergeCell ref="B28:G28"/>
    <mergeCell ref="C29:E29"/>
    <mergeCell ref="F29:G29"/>
    <mergeCell ref="C30:E30"/>
    <mergeCell ref="F30:G30"/>
    <mergeCell ref="C34:E35"/>
    <mergeCell ref="F34:G35"/>
    <mergeCell ref="C31:E31"/>
    <mergeCell ref="F31:G31"/>
    <mergeCell ref="C32:E32"/>
    <mergeCell ref="F32:G32"/>
    <mergeCell ref="C33:E33"/>
    <mergeCell ref="F33:G33"/>
    <mergeCell ref="B34:B35"/>
    <mergeCell ref="B36:B37"/>
    <mergeCell ref="C36:E37"/>
    <mergeCell ref="F36:G37"/>
    <mergeCell ref="B38:G38"/>
    <mergeCell ref="B39:G39"/>
    <mergeCell ref="B40:G40"/>
    <mergeCell ref="B41:G41"/>
    <mergeCell ref="B42:G42"/>
    <mergeCell ref="B43:G43"/>
    <mergeCell ref="J43:L50"/>
    <mergeCell ref="B44:G44"/>
    <mergeCell ref="B45:G45"/>
    <mergeCell ref="B47:G47"/>
    <mergeCell ref="B48:G48"/>
    <mergeCell ref="B85:D85"/>
    <mergeCell ref="B86:D86"/>
    <mergeCell ref="B87:D87"/>
    <mergeCell ref="B88:D88"/>
    <mergeCell ref="B82:D82"/>
    <mergeCell ref="E82:G82"/>
    <mergeCell ref="B83:D83"/>
    <mergeCell ref="E83:G83"/>
    <mergeCell ref="B84:D84"/>
    <mergeCell ref="E84:G84"/>
    <mergeCell ref="E85:G85"/>
    <mergeCell ref="B92:G92"/>
    <mergeCell ref="B93:G93"/>
    <mergeCell ref="B94:G94"/>
    <mergeCell ref="B95:G95"/>
    <mergeCell ref="E86:G86"/>
    <mergeCell ref="E87:G87"/>
    <mergeCell ref="E88:G88"/>
    <mergeCell ref="B89:G89"/>
    <mergeCell ref="J89:L93"/>
    <mergeCell ref="B90:G90"/>
    <mergeCell ref="B91:G91"/>
    <mergeCell ref="B55:C55"/>
    <mergeCell ref="B56:C56"/>
    <mergeCell ref="B57:C57"/>
    <mergeCell ref="B59:C59"/>
    <mergeCell ref="B60:C61"/>
    <mergeCell ref="B49:G49"/>
    <mergeCell ref="B50:G50"/>
    <mergeCell ref="B51:G51"/>
    <mergeCell ref="B52:G52"/>
    <mergeCell ref="B53:G53"/>
    <mergeCell ref="B54:G54"/>
    <mergeCell ref="D55:F55"/>
    <mergeCell ref="D56:F56"/>
    <mergeCell ref="D57:F57"/>
    <mergeCell ref="B58:G58"/>
    <mergeCell ref="D59:G59"/>
    <mergeCell ref="D60:G61"/>
    <mergeCell ref="B62:G62"/>
    <mergeCell ref="I63:K63"/>
    <mergeCell ref="E63:G63"/>
    <mergeCell ref="E64:G64"/>
    <mergeCell ref="E65:G65"/>
    <mergeCell ref="E66:G66"/>
    <mergeCell ref="E67:G67"/>
    <mergeCell ref="E68:G68"/>
    <mergeCell ref="B69:G69"/>
    <mergeCell ref="B74:C74"/>
    <mergeCell ref="B75:C75"/>
    <mergeCell ref="B76:C76"/>
    <mergeCell ref="B77:C77"/>
    <mergeCell ref="B78:C78"/>
    <mergeCell ref="B79:C79"/>
    <mergeCell ref="B80:C80"/>
    <mergeCell ref="B70:G70"/>
    <mergeCell ref="B71:G71"/>
    <mergeCell ref="B72:C72"/>
    <mergeCell ref="D72:F72"/>
    <mergeCell ref="B73:C73"/>
    <mergeCell ref="D73:F73"/>
    <mergeCell ref="D74:F74"/>
    <mergeCell ref="D75:F75"/>
    <mergeCell ref="D76:F76"/>
    <mergeCell ref="D77:F77"/>
    <mergeCell ref="D78:F78"/>
    <mergeCell ref="D79:F79"/>
    <mergeCell ref="D80:F80"/>
    <mergeCell ref="B81:G81"/>
  </mergeCells>
  <hyperlinks>
    <hyperlink r:id="rId1" ref="B19"/>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sheetViews>
  <sheetFormatPr customHeight="1" defaultColWidth="12.63" defaultRowHeight="15.0"/>
  <cols>
    <col customWidth="1" min="1" max="1" width="5.88"/>
    <col customWidth="1" min="2" max="2" width="26.63"/>
    <col customWidth="1" min="3" max="3" width="7.75"/>
    <col customWidth="1" min="4" max="4" width="7.88"/>
    <col customWidth="1" min="5" max="5" width="9.13"/>
    <col customWidth="1" min="6" max="6" width="5.88"/>
    <col customWidth="1" min="7" max="7" width="5.5"/>
    <col customWidth="1" min="8" max="8" width="7.5"/>
    <col customWidth="1" min="9" max="9" width="5.88"/>
    <col customWidth="1" min="10" max="10" width="36.5"/>
    <col customWidth="1" min="11" max="11" width="37.63"/>
    <col customWidth="1" min="12" max="26" width="9.38"/>
  </cols>
  <sheetData>
    <row r="7">
      <c r="B7" s="8" t="s">
        <v>0</v>
      </c>
      <c r="C7" s="10"/>
      <c r="D7" s="10"/>
      <c r="E7" s="10"/>
      <c r="F7" s="10"/>
      <c r="G7" s="10"/>
      <c r="H7" s="10"/>
      <c r="I7" s="10"/>
      <c r="J7" s="10"/>
      <c r="K7" s="7"/>
    </row>
    <row r="8" ht="17.25" customHeight="1">
      <c r="B8" s="5" t="s">
        <v>1</v>
      </c>
      <c r="C8" s="6" t="s">
        <v>2</v>
      </c>
      <c r="D8" s="10"/>
      <c r="E8" s="10"/>
      <c r="F8" s="7"/>
      <c r="G8" s="6" t="s">
        <v>3</v>
      </c>
      <c r="H8" s="10"/>
      <c r="I8" s="7"/>
      <c r="J8" s="5" t="s">
        <v>4</v>
      </c>
      <c r="K8" s="5" t="s">
        <v>5</v>
      </c>
    </row>
    <row r="9" ht="27.75" customHeight="1">
      <c r="B9" s="21" t="s">
        <v>6</v>
      </c>
      <c r="C9" s="23" t="s">
        <v>10</v>
      </c>
      <c r="D9" s="10"/>
      <c r="E9" s="10"/>
      <c r="F9" s="7"/>
      <c r="G9" s="23" t="s">
        <v>10</v>
      </c>
      <c r="H9" s="10"/>
      <c r="I9" s="7"/>
      <c r="J9" s="21" t="s">
        <v>10</v>
      </c>
      <c r="K9" s="31">
        <v>46272.0</v>
      </c>
    </row>
    <row r="10" ht="14.25" customHeight="1">
      <c r="B10" s="34"/>
      <c r="C10" s="34"/>
      <c r="D10" s="34"/>
      <c r="E10" s="34"/>
      <c r="F10" s="34"/>
      <c r="G10" s="34"/>
      <c r="H10" s="34"/>
      <c r="I10" s="34"/>
      <c r="J10" s="34"/>
      <c r="K10" s="40"/>
    </row>
    <row r="11">
      <c r="B11" s="41" t="s">
        <v>29</v>
      </c>
    </row>
    <row r="12" ht="15.0" customHeight="1"/>
    <row r="13">
      <c r="B13" s="18"/>
    </row>
    <row r="14" ht="15.0" customHeight="1">
      <c r="B14" s="20" t="s">
        <v>13</v>
      </c>
      <c r="C14" s="8" t="s">
        <v>14</v>
      </c>
      <c r="D14" s="10"/>
      <c r="E14" s="10"/>
      <c r="F14" s="10"/>
      <c r="G14" s="10"/>
      <c r="H14" s="10"/>
      <c r="I14" s="7"/>
      <c r="J14" s="8" t="s">
        <v>16</v>
      </c>
      <c r="K14" s="7"/>
    </row>
    <row r="15" ht="15.0" customHeight="1">
      <c r="B15" s="21" t="s">
        <v>17</v>
      </c>
      <c r="C15" s="23" t="s">
        <v>18</v>
      </c>
      <c r="D15" s="10"/>
      <c r="E15" s="10"/>
      <c r="F15" s="10"/>
      <c r="G15" s="10"/>
      <c r="H15" s="10"/>
      <c r="I15" s="7"/>
      <c r="J15" s="23" t="s">
        <v>20</v>
      </c>
      <c r="K15" s="7"/>
    </row>
    <row r="17">
      <c r="B17" s="56"/>
    </row>
    <row r="18">
      <c r="B18" s="59" t="s">
        <v>37</v>
      </c>
      <c r="C18" s="63" t="s">
        <v>38</v>
      </c>
      <c r="D18" s="10"/>
      <c r="E18" s="10"/>
      <c r="F18" s="10"/>
      <c r="G18" s="7"/>
      <c r="H18" s="69" t="s">
        <v>41</v>
      </c>
      <c r="I18" s="69" t="s">
        <v>43</v>
      </c>
      <c r="J18" s="59" t="s">
        <v>45</v>
      </c>
      <c r="K18" s="59" t="s">
        <v>48</v>
      </c>
    </row>
    <row r="19" ht="104.25" customHeight="1">
      <c r="B19" s="77"/>
      <c r="C19" s="81" t="s">
        <v>50</v>
      </c>
      <c r="D19" s="81" t="s">
        <v>53</v>
      </c>
      <c r="E19" s="81" t="s">
        <v>54</v>
      </c>
      <c r="F19" s="81" t="s">
        <v>55</v>
      </c>
      <c r="G19" s="81" t="s">
        <v>57</v>
      </c>
      <c r="H19" s="77"/>
      <c r="I19" s="77"/>
      <c r="J19" s="77"/>
      <c r="K19" s="77"/>
    </row>
    <row r="20">
      <c r="B20" s="91" t="s">
        <v>58</v>
      </c>
      <c r="C20" s="93"/>
      <c r="D20" s="93"/>
      <c r="E20" s="93"/>
      <c r="F20" s="93"/>
      <c r="G20" s="91" t="s">
        <v>62</v>
      </c>
      <c r="H20" s="93" t="s">
        <v>63</v>
      </c>
      <c r="I20" s="91" t="s">
        <v>63</v>
      </c>
      <c r="J20" s="112" t="str">
        <f t="shared" ref="J20:J21" si="1">IF(AND(H20="A",I20="A"),"GESTIONAR DE CERCA",IF(AND(H20="A",I20="B"),"MANTENER SATISFECHO",IF(AND(H20="B",I20="A"),"MANTENER INFORMADO",IF(AND(H20="B",I20="B"),"MONITOREAR POR SI CAMBIA DE ESTADO",""))))</f>
        <v>GESTIONAR DE CERCA</v>
      </c>
      <c r="K20" s="116" t="s">
        <v>99</v>
      </c>
    </row>
    <row r="21" ht="30.0" customHeight="1">
      <c r="B21" s="91" t="s">
        <v>102</v>
      </c>
      <c r="C21" s="93"/>
      <c r="D21" s="93"/>
      <c r="E21" s="93"/>
      <c r="F21" s="91" t="s">
        <v>62</v>
      </c>
      <c r="G21" s="93"/>
      <c r="H21" s="91" t="s">
        <v>63</v>
      </c>
      <c r="I21" s="93" t="s">
        <v>63</v>
      </c>
      <c r="J21" s="112" t="str">
        <f t="shared" si="1"/>
        <v>GESTIONAR DE CERCA</v>
      </c>
      <c r="K21" s="116" t="s">
        <v>99</v>
      </c>
    </row>
    <row r="22" ht="15.75" customHeight="1"/>
    <row r="23" ht="15.75" customHeight="1">
      <c r="B23" s="128" t="s">
        <v>114</v>
      </c>
    </row>
    <row r="24" ht="15.75" customHeight="1">
      <c r="B24" s="131"/>
    </row>
    <row r="25" ht="15.75" customHeight="1">
      <c r="B25" s="132"/>
    </row>
    <row r="26" ht="15.75" customHeight="1"/>
    <row r="27" ht="15.75" customHeight="1">
      <c r="O27" s="134"/>
      <c r="P27" s="134"/>
    </row>
    <row r="28" ht="15.75" customHeight="1">
      <c r="O28" s="134"/>
      <c r="P28" s="134"/>
    </row>
    <row r="29" ht="15.75" customHeight="1">
      <c r="O29" s="134"/>
      <c r="P29" s="134"/>
    </row>
    <row r="30" ht="15.75" customHeight="1"/>
    <row r="31" ht="15.75" customHeight="1">
      <c r="K31" s="137" t="s">
        <v>118</v>
      </c>
      <c r="O31" s="134"/>
      <c r="P31" s="134"/>
    </row>
    <row r="32" ht="21.0" customHeight="1">
      <c r="K32" s="3" t="str">
        <f t="shared" ref="K32:K33" si="2">B20</f>
        <v>Max Kreimerman</v>
      </c>
      <c r="O32" s="134"/>
      <c r="P32" s="134"/>
    </row>
    <row r="33" ht="21.0" customHeight="1">
      <c r="K33" s="3" t="str">
        <f t="shared" si="2"/>
        <v>Karina Alvarez</v>
      </c>
    </row>
    <row r="34" ht="21.0" customHeight="1">
      <c r="K34" s="3"/>
    </row>
    <row r="35" ht="21.0" customHeight="1">
      <c r="K35" s="3"/>
    </row>
    <row r="36" ht="21.0" customHeight="1">
      <c r="K36" s="3"/>
    </row>
    <row r="37" ht="21.0" customHeight="1">
      <c r="K37" s="3"/>
    </row>
    <row r="38" ht="21.0" customHeight="1">
      <c r="K38" s="3"/>
    </row>
    <row r="39" ht="21.0" customHeight="1">
      <c r="K39" s="3"/>
    </row>
    <row r="40" ht="21.0" customHeight="1">
      <c r="K40" s="3"/>
    </row>
    <row r="41" ht="21.0" customHeight="1">
      <c r="K41" s="3"/>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17">
    <mergeCell ref="B7:K7"/>
    <mergeCell ref="C8:F8"/>
    <mergeCell ref="G8:I8"/>
    <mergeCell ref="C9:F9"/>
    <mergeCell ref="G9:I9"/>
    <mergeCell ref="B11:K12"/>
    <mergeCell ref="J14:K14"/>
    <mergeCell ref="J18:J19"/>
    <mergeCell ref="K18:K19"/>
    <mergeCell ref="C14:I14"/>
    <mergeCell ref="C15:I15"/>
    <mergeCell ref="J15:K15"/>
    <mergeCell ref="B18:B19"/>
    <mergeCell ref="C18:G18"/>
    <mergeCell ref="H18:H19"/>
    <mergeCell ref="I18:I19"/>
    <mergeCell ref="B23:B25"/>
  </mergeCells>
  <conditionalFormatting sqref="J20:J21">
    <cfRule type="containsText" dxfId="0" priority="1" operator="containsText" text="MONITOREAR POR SI CAMBIA DE ESTADO">
      <formula>NOT(ISERROR(SEARCH(("MONITOREAR POR SI CAMBIA DE ESTADO"),(J20))))</formula>
    </cfRule>
  </conditionalFormatting>
  <conditionalFormatting sqref="J20:J21">
    <cfRule type="containsText" dxfId="1" priority="2" operator="containsText" text="MANTENER INFORMADO">
      <formula>NOT(ISERROR(SEARCH(("MANTENER INFORMADO"),(J20))))</formula>
    </cfRule>
  </conditionalFormatting>
  <conditionalFormatting sqref="J20:J21">
    <cfRule type="containsText" dxfId="2" priority="3" operator="containsText" text="MANTENER SATISFECHO">
      <formula>NOT(ISERROR(SEARCH(("MANTENER SATISFECHO"),(J20))))</formula>
    </cfRule>
  </conditionalFormatting>
  <conditionalFormatting sqref="J20:J21">
    <cfRule type="containsText" dxfId="3" priority="4" operator="containsText" text="GESTIONAR DE CERCA">
      <formula>NOT(ISERROR(SEARCH(("GESTIONAR DE CERCA"),(J20))))</formula>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showGridLines="0" workbookViewId="0"/>
  </sheetViews>
  <sheetFormatPr customHeight="1" defaultColWidth="12.63" defaultRowHeight="15.0"/>
  <cols>
    <col customWidth="1" min="1" max="1" width="6.63"/>
    <col customWidth="1" min="2" max="2" width="17.88"/>
    <col customWidth="1" min="3" max="3" width="16.88"/>
    <col customWidth="1" min="4" max="4" width="24.13"/>
    <col customWidth="1" min="5" max="5" width="41.88"/>
    <col customWidth="1" min="6" max="6" width="21.5"/>
    <col customWidth="1" min="7" max="7" width="22.63"/>
    <col customWidth="1" min="8" max="26" width="9.38"/>
  </cols>
  <sheetData>
    <row r="8">
      <c r="B8" s="1" t="s">
        <v>0</v>
      </c>
      <c r="C8" s="2"/>
      <c r="D8" s="2"/>
      <c r="E8" s="2"/>
      <c r="F8" s="2"/>
      <c r="G8" s="4"/>
    </row>
    <row r="9" ht="20.25" customHeight="1">
      <c r="B9" s="5" t="s">
        <v>1</v>
      </c>
      <c r="C9" s="6" t="s">
        <v>2</v>
      </c>
      <c r="D9" s="7"/>
      <c r="E9" s="5" t="s">
        <v>3</v>
      </c>
      <c r="F9" s="5" t="s">
        <v>4</v>
      </c>
      <c r="G9" s="5" t="s">
        <v>5</v>
      </c>
    </row>
    <row r="10" ht="20.25" customHeight="1">
      <c r="B10" s="9" t="s">
        <v>6</v>
      </c>
      <c r="C10" s="12" t="s">
        <v>8</v>
      </c>
      <c r="D10" s="13"/>
      <c r="E10" s="9" t="s">
        <v>9</v>
      </c>
      <c r="F10" s="9" t="s">
        <v>10</v>
      </c>
      <c r="G10" s="16">
        <v>46272.0</v>
      </c>
    </row>
    <row r="11">
      <c r="B11" s="18"/>
    </row>
    <row r="12">
      <c r="B12" s="19" t="s">
        <v>12</v>
      </c>
    </row>
    <row r="13" ht="15.0" customHeight="1"/>
    <row r="14">
      <c r="B14" s="18"/>
    </row>
    <row r="15">
      <c r="B15" s="20" t="s">
        <v>13</v>
      </c>
      <c r="C15" s="8" t="s">
        <v>14</v>
      </c>
      <c r="D15" s="10"/>
      <c r="E15" s="7"/>
      <c r="F15" s="8" t="s">
        <v>16</v>
      </c>
      <c r="G15" s="7"/>
    </row>
    <row r="16">
      <c r="B16" s="21" t="s">
        <v>17</v>
      </c>
      <c r="C16" s="23" t="s">
        <v>18</v>
      </c>
      <c r="D16" s="10"/>
      <c r="E16" s="7"/>
      <c r="F16" s="23" t="s">
        <v>20</v>
      </c>
      <c r="G16" s="7"/>
    </row>
    <row r="19">
      <c r="C19" s="27"/>
      <c r="D19" s="27"/>
    </row>
    <row r="20">
      <c r="B20" s="29" t="s">
        <v>14</v>
      </c>
      <c r="C20" s="33" t="s">
        <v>24</v>
      </c>
      <c r="D20" s="33" t="s">
        <v>25</v>
      </c>
      <c r="E20" s="33" t="s">
        <v>26</v>
      </c>
      <c r="F20" s="37" t="s">
        <v>27</v>
      </c>
      <c r="G20" s="37" t="s">
        <v>28</v>
      </c>
    </row>
    <row r="21" ht="46.5" customHeight="1">
      <c r="B21" s="44" t="s">
        <v>18</v>
      </c>
      <c r="C21" s="48" t="s">
        <v>31</v>
      </c>
      <c r="D21" s="49" t="s">
        <v>32</v>
      </c>
      <c r="E21" s="50" t="s">
        <v>33</v>
      </c>
      <c r="F21" s="51" t="s">
        <v>8</v>
      </c>
      <c r="G21" s="53" t="s">
        <v>35</v>
      </c>
    </row>
    <row r="22" ht="27.0" customHeight="1">
      <c r="B22" s="54"/>
      <c r="C22" s="55"/>
      <c r="D22" s="49"/>
      <c r="E22" s="57"/>
      <c r="F22" s="58"/>
      <c r="G22" s="60"/>
    </row>
    <row r="23" ht="27.0" customHeight="1">
      <c r="B23" s="54"/>
      <c r="C23" s="61"/>
      <c r="D23" s="65"/>
      <c r="E23" s="67"/>
      <c r="F23" s="68"/>
      <c r="G23" s="70"/>
    </row>
    <row r="24" ht="27.0" customHeight="1">
      <c r="B24" s="54"/>
      <c r="C24" s="74" t="s">
        <v>44</v>
      </c>
      <c r="D24" s="75" t="s">
        <v>47</v>
      </c>
      <c r="E24" s="76" t="s">
        <v>49</v>
      </c>
      <c r="F24" s="80" t="s">
        <v>8</v>
      </c>
      <c r="G24" s="82" t="s">
        <v>51</v>
      </c>
    </row>
    <row r="25" ht="27.0" customHeight="1">
      <c r="B25" s="54"/>
      <c r="C25" s="54"/>
      <c r="D25" s="61"/>
      <c r="E25" s="86" t="s">
        <v>56</v>
      </c>
      <c r="F25" s="55"/>
      <c r="G25" s="88"/>
    </row>
    <row r="26" ht="27.0" customHeight="1">
      <c r="B26" s="54"/>
      <c r="C26" s="54"/>
      <c r="D26" s="80"/>
      <c r="E26" s="50" t="s">
        <v>60</v>
      </c>
      <c r="F26" s="92"/>
      <c r="G26" s="94"/>
    </row>
    <row r="27" ht="27.0" customHeight="1">
      <c r="B27" s="54"/>
      <c r="C27" s="54"/>
      <c r="D27" s="61"/>
      <c r="E27" s="50" t="s">
        <v>61</v>
      </c>
      <c r="F27" s="51"/>
      <c r="G27" s="96"/>
    </row>
    <row r="28" ht="27.0" customHeight="1">
      <c r="B28" s="54"/>
      <c r="C28" s="98"/>
      <c r="D28" s="101"/>
      <c r="E28" s="101"/>
      <c r="F28" s="68"/>
      <c r="G28" s="104"/>
    </row>
    <row r="29" ht="27.0" customHeight="1">
      <c r="B29" s="54"/>
      <c r="C29" s="48" t="s">
        <v>73</v>
      </c>
      <c r="D29" s="75" t="s">
        <v>79</v>
      </c>
      <c r="E29" s="49" t="s">
        <v>83</v>
      </c>
      <c r="F29" s="80" t="s">
        <v>8</v>
      </c>
      <c r="G29" s="53" t="s">
        <v>87</v>
      </c>
    </row>
    <row r="30" ht="27.0" customHeight="1">
      <c r="B30" s="54"/>
      <c r="C30" s="55"/>
      <c r="D30" s="61"/>
      <c r="E30" s="50" t="s">
        <v>93</v>
      </c>
      <c r="F30" s="55"/>
      <c r="G30" s="60"/>
    </row>
    <row r="31" ht="27.0" customHeight="1">
      <c r="B31" s="54"/>
      <c r="C31" s="55"/>
      <c r="D31" s="80" t="s">
        <v>95</v>
      </c>
      <c r="E31" s="50" t="s">
        <v>96</v>
      </c>
      <c r="F31" s="55"/>
      <c r="G31" s="60"/>
    </row>
    <row r="32" ht="27.0" customHeight="1">
      <c r="B32" s="54"/>
      <c r="C32" s="61"/>
      <c r="D32" s="61"/>
      <c r="E32" s="67"/>
      <c r="F32" s="55"/>
      <c r="G32" s="70"/>
    </row>
    <row r="33" ht="27.0" customHeight="1">
      <c r="B33" s="54"/>
      <c r="C33" s="74" t="s">
        <v>101</v>
      </c>
      <c r="D33" s="119" t="s">
        <v>104</v>
      </c>
      <c r="E33" s="121" t="s">
        <v>106</v>
      </c>
      <c r="F33" s="80" t="s">
        <v>8</v>
      </c>
      <c r="G33" s="124" t="s">
        <v>108</v>
      </c>
    </row>
    <row r="34" ht="27.0" customHeight="1">
      <c r="B34" s="54"/>
      <c r="C34" s="54"/>
      <c r="D34" s="55"/>
      <c r="E34" s="50" t="s">
        <v>110</v>
      </c>
      <c r="F34" s="55"/>
      <c r="G34" s="60"/>
    </row>
    <row r="35" ht="27.0" customHeight="1">
      <c r="B35" s="54"/>
      <c r="C35" s="54"/>
      <c r="D35" s="61"/>
      <c r="E35" s="127"/>
      <c r="F35" s="55"/>
      <c r="G35" s="70"/>
    </row>
    <row r="36" ht="27.0" customHeight="1">
      <c r="B36" s="54"/>
      <c r="C36" s="54"/>
      <c r="D36" s="67"/>
      <c r="E36" s="127"/>
      <c r="F36" s="130"/>
      <c r="G36" s="130"/>
    </row>
    <row r="37" ht="27.0" customHeight="1">
      <c r="B37" s="54"/>
      <c r="C37" s="54"/>
      <c r="D37" s="61"/>
      <c r="E37" s="127"/>
      <c r="F37" s="60"/>
      <c r="G37" s="60"/>
    </row>
    <row r="38" ht="27.0" customHeight="1">
      <c r="B38" s="54"/>
      <c r="C38" s="54"/>
      <c r="D38" s="67"/>
      <c r="E38" s="127"/>
      <c r="F38" s="60"/>
      <c r="G38" s="60"/>
    </row>
    <row r="39" ht="27.0" customHeight="1">
      <c r="B39" s="54"/>
      <c r="C39" s="54"/>
      <c r="D39" s="55"/>
      <c r="E39" s="127"/>
      <c r="F39" s="60"/>
      <c r="G39" s="60"/>
    </row>
    <row r="40" ht="27.0" customHeight="1">
      <c r="B40" s="54"/>
      <c r="C40" s="98"/>
      <c r="D40" s="135"/>
      <c r="E40" s="101"/>
      <c r="F40" s="136"/>
      <c r="G40" s="136"/>
    </row>
    <row r="41" ht="39.75" customHeight="1">
      <c r="B41" s="54"/>
      <c r="C41" s="48" t="s">
        <v>119</v>
      </c>
      <c r="D41" s="119" t="s">
        <v>121</v>
      </c>
      <c r="E41" s="49" t="s">
        <v>122</v>
      </c>
      <c r="F41" s="80" t="s">
        <v>8</v>
      </c>
      <c r="G41" s="53" t="s">
        <v>123</v>
      </c>
    </row>
    <row r="42" ht="39.75" customHeight="1">
      <c r="B42" s="54"/>
      <c r="C42" s="55"/>
      <c r="D42" s="55"/>
      <c r="E42" s="50" t="s">
        <v>124</v>
      </c>
      <c r="F42" s="55"/>
      <c r="G42" s="60"/>
    </row>
    <row r="43" ht="27.0" customHeight="1">
      <c r="B43" s="54"/>
      <c r="C43" s="61"/>
      <c r="D43" s="61"/>
      <c r="E43" s="67"/>
      <c r="F43" s="55"/>
      <c r="G43" s="70"/>
    </row>
    <row r="44" ht="27.0" customHeight="1">
      <c r="B44" s="54"/>
      <c r="C44" s="74" t="s">
        <v>125</v>
      </c>
      <c r="D44" s="119" t="s">
        <v>126</v>
      </c>
      <c r="E44" s="121" t="s">
        <v>127</v>
      </c>
      <c r="F44" s="80" t="s">
        <v>8</v>
      </c>
      <c r="G44" s="53" t="s">
        <v>128</v>
      </c>
    </row>
    <row r="45" ht="27.0" customHeight="1">
      <c r="B45" s="54"/>
      <c r="C45" s="54"/>
      <c r="D45" s="61"/>
      <c r="E45" s="50" t="s">
        <v>130</v>
      </c>
      <c r="F45" s="55"/>
      <c r="G45" s="60"/>
    </row>
    <row r="46" ht="27.0" customHeight="1">
      <c r="B46" s="54"/>
      <c r="C46" s="54"/>
      <c r="D46" s="67"/>
      <c r="E46" s="50" t="s">
        <v>132</v>
      </c>
      <c r="F46" s="55"/>
      <c r="G46" s="70"/>
    </row>
    <row r="47" ht="29.25" customHeight="1">
      <c r="B47" s="54"/>
      <c r="C47" s="54"/>
      <c r="D47" s="55"/>
      <c r="E47" s="127"/>
      <c r="F47" s="142"/>
      <c r="G47" s="142"/>
    </row>
    <row r="48" ht="52.5" customHeight="1">
      <c r="B48" s="54"/>
      <c r="C48" s="54"/>
      <c r="D48" s="61"/>
      <c r="E48" s="127"/>
      <c r="F48" s="142"/>
      <c r="G48" s="142"/>
    </row>
    <row r="49" ht="27.0" customHeight="1">
      <c r="B49" s="54"/>
      <c r="C49" s="98"/>
      <c r="D49" s="101"/>
      <c r="E49" s="101"/>
      <c r="F49" s="143"/>
      <c r="G49" s="143"/>
    </row>
    <row r="50" ht="27.0" customHeight="1">
      <c r="B50" s="54"/>
      <c r="C50" s="74" t="s">
        <v>135</v>
      </c>
      <c r="D50" s="75" t="s">
        <v>136</v>
      </c>
      <c r="E50" s="75" t="s">
        <v>137</v>
      </c>
      <c r="F50" s="80" t="s">
        <v>8</v>
      </c>
      <c r="G50" s="53" t="s">
        <v>138</v>
      </c>
    </row>
    <row r="51" ht="27.0" customHeight="1">
      <c r="B51" s="54"/>
      <c r="C51" s="54"/>
      <c r="E51" s="50" t="s">
        <v>139</v>
      </c>
      <c r="F51" s="55"/>
      <c r="G51" s="60"/>
    </row>
    <row r="52" ht="27.0" customHeight="1">
      <c r="B52" s="54"/>
      <c r="C52" s="98"/>
      <c r="D52" s="148"/>
      <c r="E52" s="75" t="s">
        <v>140</v>
      </c>
      <c r="F52" s="55"/>
      <c r="G52" s="70"/>
    </row>
    <row r="53" ht="47.25" customHeight="1">
      <c r="B53" s="54"/>
      <c r="C53" s="74" t="s">
        <v>141</v>
      </c>
      <c r="D53" s="149" t="s">
        <v>142</v>
      </c>
      <c r="E53" s="121" t="s">
        <v>143</v>
      </c>
      <c r="F53" s="80" t="s">
        <v>8</v>
      </c>
      <c r="G53" s="124" t="s">
        <v>144</v>
      </c>
    </row>
    <row r="54" ht="47.25" customHeight="1">
      <c r="B54" s="54"/>
      <c r="C54" s="54"/>
      <c r="D54" s="55"/>
      <c r="E54" s="50" t="s">
        <v>145</v>
      </c>
      <c r="F54" s="55"/>
      <c r="G54" s="60"/>
    </row>
    <row r="55" ht="47.25" customHeight="1">
      <c r="B55" s="98"/>
      <c r="C55" s="98"/>
      <c r="D55" s="151"/>
      <c r="E55" s="152" t="s">
        <v>146</v>
      </c>
      <c r="F55" s="61"/>
      <c r="G55" s="136"/>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c r="C85" s="156" t="s">
        <v>26</v>
      </c>
      <c r="D85" s="158" t="s">
        <v>14</v>
      </c>
      <c r="E85" s="159" t="s">
        <v>25</v>
      </c>
      <c r="F85" s="161" t="s">
        <v>24</v>
      </c>
    </row>
    <row r="86" ht="15.75" customHeight="1"/>
    <row r="87" ht="15.75" customHeight="1"/>
    <row r="88" ht="15.75" customHeight="1">
      <c r="C88" s="3" t="s">
        <v>149</v>
      </c>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7">
    <mergeCell ref="C33:C40"/>
    <mergeCell ref="D33:D35"/>
    <mergeCell ref="D36:D37"/>
    <mergeCell ref="D38:D40"/>
    <mergeCell ref="C10:D10"/>
    <mergeCell ref="B21:B55"/>
    <mergeCell ref="C21:C23"/>
    <mergeCell ref="C24:C28"/>
    <mergeCell ref="D24:D25"/>
    <mergeCell ref="D26:D27"/>
    <mergeCell ref="C29:C32"/>
    <mergeCell ref="D53:D54"/>
    <mergeCell ref="B8:G8"/>
    <mergeCell ref="C9:D9"/>
    <mergeCell ref="B12:G13"/>
    <mergeCell ref="C15:E15"/>
    <mergeCell ref="F15:G15"/>
    <mergeCell ref="C16:E16"/>
    <mergeCell ref="F16:G16"/>
    <mergeCell ref="D29:D30"/>
    <mergeCell ref="D31:D32"/>
    <mergeCell ref="F33:F35"/>
    <mergeCell ref="G33:G35"/>
    <mergeCell ref="F36:F40"/>
    <mergeCell ref="G36:G40"/>
    <mergeCell ref="F21:F23"/>
    <mergeCell ref="G21:G23"/>
    <mergeCell ref="F24:F25"/>
    <mergeCell ref="G24:G25"/>
    <mergeCell ref="F27:F28"/>
    <mergeCell ref="F29:F32"/>
    <mergeCell ref="G29:G32"/>
    <mergeCell ref="C41:C43"/>
    <mergeCell ref="D41:D43"/>
    <mergeCell ref="F41:F43"/>
    <mergeCell ref="G41:G43"/>
    <mergeCell ref="C50:C52"/>
    <mergeCell ref="C53:C55"/>
    <mergeCell ref="F53:F55"/>
    <mergeCell ref="G53:G55"/>
    <mergeCell ref="C44:C49"/>
    <mergeCell ref="D44:D45"/>
    <mergeCell ref="F44:F46"/>
    <mergeCell ref="G44:G46"/>
    <mergeCell ref="D46:D48"/>
    <mergeCell ref="F50:F52"/>
    <mergeCell ref="G50:G5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2.38"/>
    <col customWidth="1" min="3" max="3" width="13.13"/>
    <col customWidth="1" min="4" max="4" width="13.38"/>
    <col customWidth="1" min="5" max="5" width="9.38"/>
    <col customWidth="1" min="6" max="6" width="10.5"/>
    <col customWidth="1" min="7" max="7" width="11.13"/>
    <col customWidth="1" min="8" max="12" width="9.38"/>
    <col customWidth="1" min="13" max="13" width="18.13"/>
    <col customWidth="1" min="14" max="26" width="9.38"/>
  </cols>
  <sheetData>
    <row r="1">
      <c r="A1" s="3"/>
    </row>
    <row r="2">
      <c r="A2" s="3"/>
    </row>
    <row r="3">
      <c r="A3" s="3"/>
    </row>
    <row r="4">
      <c r="A4" s="3"/>
    </row>
    <row r="5">
      <c r="A5" s="3"/>
    </row>
    <row r="6">
      <c r="A6" s="3"/>
      <c r="B6" s="3"/>
      <c r="C6" s="3"/>
      <c r="D6" s="3"/>
      <c r="E6" s="3"/>
      <c r="F6" s="3"/>
      <c r="G6" s="3"/>
      <c r="H6" s="3"/>
      <c r="I6" s="3"/>
      <c r="J6" s="3"/>
      <c r="K6" s="3"/>
      <c r="L6" s="3"/>
      <c r="M6" s="3"/>
      <c r="N6" s="3"/>
      <c r="O6" s="3"/>
      <c r="P6" s="3"/>
      <c r="Q6" s="3"/>
      <c r="R6" s="3"/>
      <c r="S6" s="3"/>
      <c r="T6" s="3"/>
      <c r="U6" s="3"/>
      <c r="V6" s="3"/>
      <c r="W6" s="3"/>
      <c r="X6" s="3"/>
      <c r="Y6" s="3"/>
      <c r="Z6" s="3"/>
    </row>
    <row r="7" ht="15.0" customHeight="1">
      <c r="A7" s="3"/>
      <c r="B7" s="8" t="s">
        <v>0</v>
      </c>
      <c r="C7" s="10"/>
      <c r="D7" s="10"/>
      <c r="E7" s="10"/>
      <c r="F7" s="10"/>
      <c r="G7" s="10"/>
      <c r="H7" s="10"/>
      <c r="I7" s="10"/>
      <c r="J7" s="10"/>
      <c r="K7" s="10"/>
      <c r="L7" s="10"/>
      <c r="M7" s="7"/>
      <c r="N7" s="3"/>
      <c r="O7" s="3"/>
      <c r="P7" s="3"/>
      <c r="Q7" s="3"/>
      <c r="R7" s="3"/>
      <c r="S7" s="3"/>
      <c r="T7" s="3"/>
      <c r="U7" s="3"/>
      <c r="V7" s="3"/>
      <c r="W7" s="3"/>
      <c r="X7" s="3"/>
      <c r="Y7" s="3"/>
      <c r="Z7" s="3"/>
    </row>
    <row r="8" ht="18.75" customHeight="1">
      <c r="A8" s="3"/>
      <c r="B8" s="5" t="s">
        <v>1</v>
      </c>
      <c r="C8" s="6" t="s">
        <v>2</v>
      </c>
      <c r="D8" s="10"/>
      <c r="E8" s="10"/>
      <c r="F8" s="7"/>
      <c r="G8" s="6" t="s">
        <v>3</v>
      </c>
      <c r="H8" s="10"/>
      <c r="I8" s="7"/>
      <c r="J8" s="6" t="s">
        <v>4</v>
      </c>
      <c r="K8" s="10"/>
      <c r="L8" s="7"/>
      <c r="M8" s="5" t="s">
        <v>5</v>
      </c>
      <c r="N8" s="3"/>
      <c r="O8" s="3"/>
      <c r="P8" s="3"/>
      <c r="Q8" s="3"/>
      <c r="R8" s="3"/>
      <c r="S8" s="3"/>
      <c r="T8" s="3"/>
      <c r="U8" s="3"/>
      <c r="V8" s="3"/>
      <c r="W8" s="3"/>
      <c r="X8" s="3"/>
      <c r="Y8" s="3"/>
      <c r="Z8" s="3"/>
    </row>
    <row r="9">
      <c r="A9" s="3"/>
      <c r="B9" s="22">
        <v>1.0</v>
      </c>
      <c r="C9" s="25" t="s">
        <v>19</v>
      </c>
      <c r="D9" s="10"/>
      <c r="E9" s="10"/>
      <c r="F9" s="7"/>
      <c r="G9" s="25" t="s">
        <v>21</v>
      </c>
      <c r="H9" s="10"/>
      <c r="I9" s="7"/>
      <c r="J9" s="25" t="s">
        <v>22</v>
      </c>
      <c r="K9" s="10"/>
      <c r="L9" s="7"/>
      <c r="M9" s="32">
        <v>43914.0</v>
      </c>
      <c r="N9" s="3"/>
      <c r="O9" s="3"/>
      <c r="P9" s="3"/>
      <c r="Q9" s="3"/>
      <c r="R9" s="3"/>
      <c r="S9" s="3"/>
      <c r="T9" s="3"/>
      <c r="U9" s="3"/>
      <c r="V9" s="3"/>
      <c r="W9" s="3"/>
      <c r="X9" s="3"/>
      <c r="Y9" s="3"/>
      <c r="Z9" s="3"/>
    </row>
    <row r="10">
      <c r="A10" s="3"/>
      <c r="B10" s="18"/>
      <c r="C10" s="3"/>
      <c r="D10" s="3"/>
      <c r="E10" s="3"/>
      <c r="F10" s="3"/>
      <c r="G10" s="3"/>
      <c r="H10" s="3"/>
      <c r="I10" s="3"/>
      <c r="J10" s="3"/>
      <c r="K10" s="3"/>
      <c r="L10" s="3"/>
      <c r="M10" s="3"/>
      <c r="N10" s="3"/>
      <c r="O10" s="3"/>
      <c r="P10" s="3"/>
      <c r="Q10" s="3"/>
      <c r="R10" s="3"/>
      <c r="S10" s="3"/>
      <c r="T10" s="3"/>
      <c r="U10" s="3"/>
      <c r="V10" s="3"/>
      <c r="W10" s="3"/>
      <c r="X10" s="3"/>
      <c r="Y10" s="3"/>
      <c r="Z10" s="3"/>
    </row>
    <row r="11" ht="15.0" customHeight="1">
      <c r="A11" s="3"/>
      <c r="B11" s="41" t="s">
        <v>30</v>
      </c>
      <c r="N11" s="3"/>
      <c r="O11" s="3"/>
      <c r="P11" s="3"/>
      <c r="Q11" s="3"/>
      <c r="R11" s="3"/>
      <c r="S11" s="3"/>
      <c r="T11" s="3"/>
      <c r="U11" s="3"/>
      <c r="V11" s="3"/>
      <c r="W11" s="3"/>
      <c r="X11" s="3"/>
      <c r="Y11" s="3"/>
      <c r="Z11" s="3"/>
    </row>
    <row r="12" ht="15.0" customHeight="1">
      <c r="A12" s="3"/>
      <c r="N12" s="3"/>
      <c r="O12" s="3"/>
      <c r="P12" s="3"/>
      <c r="Q12" s="3"/>
      <c r="R12" s="3"/>
      <c r="S12" s="3"/>
      <c r="T12" s="3"/>
      <c r="U12" s="3"/>
      <c r="V12" s="3"/>
      <c r="W12" s="3"/>
      <c r="X12" s="3"/>
      <c r="Y12" s="3"/>
      <c r="Z12" s="3"/>
    </row>
    <row r="13">
      <c r="A13" s="3"/>
      <c r="B13" s="18"/>
      <c r="C13" s="3"/>
      <c r="D13" s="3"/>
      <c r="E13" s="3"/>
      <c r="F13" s="3"/>
      <c r="G13" s="3"/>
      <c r="H13" s="3"/>
      <c r="I13" s="3"/>
      <c r="J13" s="3"/>
      <c r="K13" s="3"/>
      <c r="L13" s="3"/>
      <c r="M13" s="3"/>
      <c r="N13" s="3"/>
      <c r="O13" s="3"/>
      <c r="P13" s="3"/>
      <c r="Q13" s="3"/>
      <c r="R13" s="3"/>
      <c r="S13" s="3"/>
      <c r="T13" s="3"/>
      <c r="U13" s="3"/>
      <c r="V13" s="3"/>
      <c r="W13" s="3"/>
      <c r="X13" s="3"/>
      <c r="Y13" s="3"/>
      <c r="Z13" s="3"/>
    </row>
    <row r="14" ht="15.0" customHeight="1">
      <c r="A14" s="3"/>
      <c r="B14" s="8" t="s">
        <v>13</v>
      </c>
      <c r="C14" s="7"/>
      <c r="D14" s="8" t="s">
        <v>14</v>
      </c>
      <c r="E14" s="10"/>
      <c r="F14" s="10"/>
      <c r="G14" s="10"/>
      <c r="H14" s="10"/>
      <c r="I14" s="7"/>
      <c r="J14" s="8" t="s">
        <v>16</v>
      </c>
      <c r="K14" s="10"/>
      <c r="L14" s="10"/>
      <c r="M14" s="7"/>
      <c r="N14" s="3"/>
      <c r="O14" s="3"/>
      <c r="P14" s="3"/>
      <c r="Q14" s="3"/>
      <c r="R14" s="3"/>
      <c r="S14" s="3"/>
      <c r="T14" s="3"/>
      <c r="U14" s="3"/>
      <c r="V14" s="3"/>
      <c r="W14" s="3"/>
      <c r="X14" s="3"/>
      <c r="Y14" s="3"/>
      <c r="Z14" s="3"/>
    </row>
    <row r="15" ht="15.0" customHeight="1">
      <c r="A15" s="3"/>
      <c r="B15" s="25" t="s">
        <v>39</v>
      </c>
      <c r="C15" s="7"/>
      <c r="D15" s="25" t="s">
        <v>40</v>
      </c>
      <c r="E15" s="10"/>
      <c r="F15" s="10"/>
      <c r="G15" s="10"/>
      <c r="H15" s="10"/>
      <c r="I15" s="7"/>
      <c r="J15" s="25" t="s">
        <v>42</v>
      </c>
      <c r="K15" s="10"/>
      <c r="L15" s="10"/>
      <c r="M15" s="7"/>
    </row>
    <row r="16">
      <c r="A16" s="3"/>
      <c r="B16" s="34"/>
      <c r="C16" s="34"/>
      <c r="D16" s="34"/>
      <c r="E16" s="34"/>
      <c r="F16" s="3"/>
      <c r="G16" s="3"/>
      <c r="H16" s="3"/>
      <c r="I16" s="3"/>
      <c r="J16" s="3"/>
      <c r="K16" s="3"/>
      <c r="L16" s="3"/>
      <c r="M16" s="3"/>
      <c r="N16" s="3"/>
      <c r="O16" s="3"/>
      <c r="P16" s="3"/>
      <c r="Q16" s="3"/>
      <c r="R16" s="3"/>
      <c r="S16" s="3"/>
      <c r="T16" s="3"/>
      <c r="U16" s="3"/>
      <c r="V16" s="3"/>
      <c r="W16" s="3"/>
      <c r="X16" s="3"/>
      <c r="Y16" s="3"/>
      <c r="Z16" s="3"/>
    </row>
    <row r="17">
      <c r="A17" s="3"/>
      <c r="B17" s="34"/>
      <c r="C17" s="34"/>
      <c r="D17" s="34"/>
      <c r="E17" s="34"/>
      <c r="F17" s="3"/>
      <c r="G17" s="3"/>
      <c r="H17" s="3"/>
      <c r="I17" s="3"/>
      <c r="J17" s="3"/>
      <c r="K17" s="3"/>
      <c r="L17" s="3"/>
      <c r="M17" s="3"/>
      <c r="N17" s="3"/>
      <c r="O17" s="3"/>
      <c r="P17" s="3"/>
      <c r="Q17" s="3"/>
      <c r="R17" s="3"/>
      <c r="S17" s="3"/>
      <c r="T17" s="3"/>
      <c r="U17" s="3"/>
      <c r="V17" s="3"/>
      <c r="W17" s="3"/>
      <c r="X17" s="3"/>
      <c r="Y17" s="3"/>
      <c r="Z17" s="3"/>
    </row>
    <row r="18">
      <c r="A18" s="3"/>
      <c r="B18" s="34"/>
      <c r="C18" s="34"/>
      <c r="D18" s="34"/>
      <c r="E18" s="34"/>
      <c r="F18" s="3"/>
      <c r="G18" s="3"/>
      <c r="H18" s="3"/>
      <c r="I18" s="3"/>
      <c r="J18" s="3"/>
      <c r="K18" s="3"/>
      <c r="L18" s="3"/>
      <c r="M18" s="3"/>
      <c r="N18" s="3"/>
      <c r="O18" s="3"/>
      <c r="P18" s="3"/>
      <c r="Q18" s="3"/>
      <c r="R18" s="3"/>
      <c r="S18" s="3"/>
      <c r="T18" s="3"/>
      <c r="U18" s="3"/>
      <c r="V18" s="3"/>
      <c r="W18" s="3"/>
      <c r="X18" s="3"/>
      <c r="Y18" s="3"/>
      <c r="Z18" s="3"/>
    </row>
    <row r="19">
      <c r="A19" s="3"/>
      <c r="B19" s="99" t="s">
        <v>65</v>
      </c>
      <c r="C19" s="102" t="s">
        <v>67</v>
      </c>
      <c r="D19" s="103"/>
      <c r="E19" s="99" t="s">
        <v>69</v>
      </c>
      <c r="F19" s="99" t="s">
        <v>71</v>
      </c>
      <c r="G19" s="99" t="s">
        <v>72</v>
      </c>
      <c r="H19" s="102" t="s">
        <v>75</v>
      </c>
      <c r="I19" s="107"/>
      <c r="J19" s="107"/>
      <c r="K19" s="107"/>
      <c r="L19" s="103"/>
      <c r="M19" s="99" t="s">
        <v>77</v>
      </c>
    </row>
    <row r="20">
      <c r="A20" s="3"/>
      <c r="B20" s="61"/>
      <c r="C20" s="108" t="s">
        <v>78</v>
      </c>
      <c r="D20" s="108" t="s">
        <v>81</v>
      </c>
      <c r="E20" s="61"/>
      <c r="F20" s="61"/>
      <c r="G20" s="61"/>
      <c r="H20" s="109" t="s">
        <v>84</v>
      </c>
      <c r="I20" s="110" t="s">
        <v>86</v>
      </c>
      <c r="J20" s="111" t="s">
        <v>88</v>
      </c>
      <c r="K20" s="108" t="s">
        <v>90</v>
      </c>
      <c r="L20" s="108" t="s">
        <v>92</v>
      </c>
      <c r="M20" s="61"/>
    </row>
    <row r="21" ht="15.75" customHeight="1">
      <c r="A21" s="3"/>
      <c r="B21" s="113">
        <v>205000.0</v>
      </c>
      <c r="C21" s="114">
        <v>43850.0</v>
      </c>
      <c r="D21" s="114">
        <v>44091.0</v>
      </c>
      <c r="E21" s="114">
        <v>43864.0</v>
      </c>
      <c r="F21" s="115">
        <v>0.05</v>
      </c>
      <c r="G21" s="115">
        <v>0.05</v>
      </c>
      <c r="H21" s="117">
        <v>5900.0</v>
      </c>
      <c r="I21" s="117">
        <v>3500.0</v>
      </c>
      <c r="J21" s="117">
        <v>4000.0</v>
      </c>
      <c r="K21" s="122">
        <f>I21/H21</f>
        <v>0.593220339</v>
      </c>
      <c r="L21" s="125">
        <f>I21/J21</f>
        <v>0.875</v>
      </c>
      <c r="M21" s="126" t="s">
        <v>112</v>
      </c>
    </row>
    <row r="22" ht="15.75" customHeight="1">
      <c r="A22" s="3"/>
    </row>
    <row r="23" ht="15.75" customHeight="1">
      <c r="A23" s="3"/>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mergeCells count="21">
    <mergeCell ref="B7:M7"/>
    <mergeCell ref="C8:F8"/>
    <mergeCell ref="G8:I8"/>
    <mergeCell ref="J8:L8"/>
    <mergeCell ref="C9:F9"/>
    <mergeCell ref="G9:I9"/>
    <mergeCell ref="J9:L9"/>
    <mergeCell ref="B19:B20"/>
    <mergeCell ref="C19:D19"/>
    <mergeCell ref="E19:E20"/>
    <mergeCell ref="F19:F20"/>
    <mergeCell ref="G19:G20"/>
    <mergeCell ref="H19:L19"/>
    <mergeCell ref="M19:M20"/>
    <mergeCell ref="B11:M12"/>
    <mergeCell ref="B14:C14"/>
    <mergeCell ref="D14:I14"/>
    <mergeCell ref="J14:M14"/>
    <mergeCell ref="B15:C15"/>
    <mergeCell ref="D15:I15"/>
    <mergeCell ref="J15:M15"/>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2020-02-23T21:02:25Z</dcterms:created>
  <dc:creator>Lady</dc:creator>
</cp:coreProperties>
</file>